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bookViews>
  <sheets>
    <sheet name="Test-Results" sheetId="1" r:id="rId1"/>
    <sheet name="data-import" sheetId="3" r:id="rId2"/>
    <sheet name="Screenshots" sheetId="2" r:id="rId3"/>
  </sheets>
  <calcPr calcId="162913"/>
</workbook>
</file>

<file path=xl/calcChain.xml><?xml version="1.0" encoding="utf-8"?>
<calcChain xmlns="http://schemas.openxmlformats.org/spreadsheetml/2006/main">
  <c r="A64" i="1" l="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62" i="1" l="1"/>
  <c r="A63" i="1" s="1"/>
  <c r="A61" i="1"/>
  <c r="A31" i="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30" i="1"/>
  <c r="A29" i="1"/>
  <c r="A6" i="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5" i="1"/>
</calcChain>
</file>

<file path=xl/sharedStrings.xml><?xml version="1.0" encoding="utf-8"?>
<sst xmlns="http://schemas.openxmlformats.org/spreadsheetml/2006/main" count="757" uniqueCount="355">
  <si>
    <t>Perform Law Mgmt App (PLMA) - Attorney Mgmt System (AMS)</t>
  </si>
  <si>
    <t>SL#</t>
  </si>
  <si>
    <t>Date Found</t>
  </si>
  <si>
    <t>DEV Resolutions</t>
  </si>
  <si>
    <t>STATUS</t>
  </si>
  <si>
    <t>Remarks/ Comments</t>
  </si>
  <si>
    <t>Team, Looks like couple of key functional changes required: (1) Forget/ Reset/ Change Password for User/ Profile - need to activate SMTP if possible to send the relevant email with specific URL links for reset/ change pwd</t>
  </si>
  <si>
    <t>(2) Edit App Codes: if Firm-Codes data already exists then don't allow the change of "Firm Customization" of that App code.. else there'll be a major data conflict of Codes</t>
  </si>
  <si>
    <t>(3) SiteAdmin login: While adding new records in Firms, Attorney, Employee/Staff: the User Credentials (User Name, Pwd) shouldn't be defaulted to current signed-in User/ Pwd</t>
  </si>
  <si>
    <t>(4) SiteAdmin login / Add Attorney: First let the Firm selected before adding a new Attorney.. OR we need to block out SiteAdmin not to add Attorneys directly but as FirmAdmin
Reg item #4, Devosmita just now explained the main Firm/ Name columns being shifted down.. but please make that visible on the top (rightside) somehow for all key/ parent columns like Firm Name, Fast Name, Last Name, DOB etc</t>
  </si>
  <si>
    <t>(5) Add Firm Address/ City Selection: Use SELECT DISTINCT for filtering out only one City under Country+State combination</t>
  </si>
  <si>
    <t>(#6) I thought we'd that in all address DB object for three phone items (Phone#, Fax#, Cell/Mobile#).. if not, let's put "Facsimile#" (indirectly aka Fax#) UI-label (with same Phone# masking format) and respective DB-field in all address sections/ table</t>
  </si>
  <si>
    <t>Very Important - (#7) Please clearly make all the mandatory columns visible on our web forms with an asterisk (*) - meant for mandatory columns and if possible with red-color label if it's not too complicated.. e.g. label " Password* "</t>
  </si>
  <si>
    <t>(#8) Please make all Address Line2/ Line3 columns as optional in all Address section</t>
  </si>
  <si>
    <t>(#9) In USA Zip Codes, we should be allowing the PO Box values as suffix also as US standard norms.. e.g. Los Angeles, CA "90071-1560" USA.. that means, the current Zip Code validation could include the first (prefix) five (5) numbers as real zipcode value followed by rest data..
For reference of real data of top#1 law firm: https://www.lw.com/Offices/LosAngeles</t>
  </si>
  <si>
    <t>(#10) For SiteAdmin, please let's restore back the list view of All Country-State-City-PostalCode list.. that's a very imp ready reckoner kinda list</t>
  </si>
  <si>
    <t>FIXED</t>
  </si>
  <si>
    <t>Relevant DB SQL import corrected</t>
  </si>
  <si>
    <t>(#11) In plma-dev setup, I've created a new Firm with separate FirmAdmin user, I got normal green-msg of "Firm added successfully" but there's no Firm record in DB but one new Firm-Admin User got added.. (the reason being the new DB table change for plma_firm for approval_level but we've not used START TRANSACTION approach at all as of yet)</t>
  </si>
  <si>
    <t>Mintu, pls ensure to capture the real DB errors along with an User-friendly App-Error in case of any DB DML ops failure cases to reassure the User something gone wrong in the backend.. Do you've any traceability of the exact App Failure through some Error-Log on web-server side?! If not, we need to introduce this for proper tracking of exact program &amp; user-signed datetimestamp details</t>
  </si>
  <si>
    <t>Issue (#12) Add Attorney for a newly created Firm using FirmAdmin.. the green-msg comes as "Attorney added successfully" but that new Attorneys are not displayed in Attorney-list and the major confusion is the FirmAdmin gets automatically changed to another Firm with different FirmAdmin login screen.. please look into this ASAP</t>
  </si>
  <si>
    <t>It's a logical req (#13) when SiteAdmin adds a new Code into AppCodes with firm_customization as "1" (as YES) then we need to add that code into FirmCodes too (for all the existing Firms with firm_seq_no) automatically through the program.. so that we can prevent unwanted manual data-entry from backend DB</t>
  </si>
  <si>
    <t>Issue (#14) Under FirmAdmin login, the Attorney list doesn't show the existing list of Attorneys properly, even without those basic View/ Edit Actions</t>
  </si>
  <si>
    <t>OPEN</t>
  </si>
  <si>
    <t>Issue (#15) FirmAdmin login, Add EmpStaff List, tried to add a new Staff.. there was no successful msg with no record in EmpStaff list.. Now inside DB, there's no record in EmpStaff table but one new EmpStaff user got added.. pls check this seriously since there's something big mess while testing now!</t>
  </si>
  <si>
    <t>List of WebApp Testing Issues/ Suggestions Reported</t>
  </si>
  <si>
    <t>In Profile List, show User Name as 2nd column as it was earlier without which it's not clear which User all those Profile data is listed</t>
  </si>
  <si>
    <t>#18</t>
  </si>
  <si>
    <t>In Firm Codes list, it's showing the list of debug array list of Firm Codes, Refer to the screenshots</t>
  </si>
  <si>
    <t>Can we make all Add, Edit, View Screens all uniform look &amp; feel across all the UIs? E.g. Add/ Edit/ View Firm doesn't have same UI form..</t>
  </si>
  <si>
    <t>For Site Admin, please provide "Edit Firm" Action menu &amp; its respective functionality where non-primary key details can be editable in case of any issues</t>
  </si>
  <si>
    <t>For Site Admin, the Employee-Staff List doesn’t show the Firm Name on 2nd column like Attorney List</t>
  </si>
  <si>
    <t>For Site Admin, the Clients List doesn’t show the Firm Name on 2nd column like Targets List</t>
  </si>
  <si>
    <t>The back buttons doesn't really work on most of the View/ Edit screens</t>
  </si>
  <si>
    <t>The Hour Budgeting Tool is just an Attorney based Spreadsheet kind of UI look &amp; feel for calculations/ editions etc.. Site/ Firm Admin can just have a VIEW-ONLY access for the time being unless asked by Brian.</t>
  </si>
  <si>
    <t>The Audit Trails list will be based on Firm to Attorney specific Activity-Budget-Approval related all transactional creation/ changes (anything DB column level changes like FROM-TO values) - can be viewed by Firm Admin and Site Admin only (for Audit purposes)</t>
  </si>
  <si>
    <t>For Firm Admin, please provide DELETE Action options for Strategy Group and Section list</t>
  </si>
  <si>
    <t>For Firm Admin / Edit Section, please allow the Section ID to be changed just like Strategy Group ID since these are not primary keys of the table</t>
  </si>
  <si>
    <t>For Firm Admin / Add Practice Area Survey, there's no way to create a fresh record since it reports "Something Went Wrong" msg</t>
  </si>
  <si>
    <t>Firm Admin / App Users list, it should list out all Firm-specific App Users Only for View purpose only</t>
  </si>
  <si>
    <t>Firm Admin/ My Firm / Locations (Add New Location): Put the first UI column as Address Type to identify what's the real data is meant for. The County column needs to be made optional on selection of US-State - for which you can't add Firm address now.</t>
  </si>
  <si>
    <t>Firm Admin/ Add Attorney: Major Missing details from whole Address block like Address Line3, Phone, Fax, Mobile, Email, Social/ Web Profile URLs and so many details.. Also pls ensure the Add/ Edit/ View UI forms looks alike but not entirely different - including flexible Postal/ Zip Code format as 99999 OR 99999-99999 (2nd part for specific PO Box)</t>
  </si>
  <si>
    <t>Firm Admin/ Attorney List: please provide Edit Attorney action option to edit most of the non-primary key info</t>
  </si>
  <si>
    <t>Firm Admin login: please allow the password change for Attorney and EmpStaff during EDIT options while they're being SuperAdmins for the whole Firm but with proper audit-trail records for this kind of key Password info change..</t>
  </si>
  <si>
    <t>Firm Admin / View EmpStaff: The header shows as "EDIT" while the Profile photo doesn't show up (maybe Profile didnt get stored during Add itself), First/ Last Name/ gender storing issues are there along with few other columns too.. pls ensure the missing address columns for all here too Add/ Edit/ View EmpStaff with uniform column alignments like other UIs like Attorney</t>
  </si>
  <si>
    <t>Firm Admin / Competitors List: For the time being, just show the full list of All Market Competitors as VIEW ONLY if created by some other Users and allow the EDIT/ DELETE option for the Competitors only if created by the same FirmAdmin User.</t>
  </si>
  <si>
    <t>Firm Admin/ Add Competitor: Please check the missing Address columns here too along with proper Date formats (DD-MMM-YYYY) and overall aligment and consistency across Add/ Edit/ View options..</t>
  </si>
  <si>
    <t>Attorney login: For a firm#3 attorney, it's signing under firm#2 - this is dangerous when the scenario is 3 SiteAdmins created 3 separate Firms, the DB table for Attorney properly showing firm_seq_no as 3</t>
  </si>
  <si>
    <t>Attorney login / My Profile: Most of the data is not at all matching from DB and missing columns too - please sync up like Add/ Edit/ View Attorney UI screen</t>
  </si>
  <si>
    <t>Attorney login / Target List: The Action Menu for View/ Edit are not visible to review a specific Target data</t>
  </si>
  <si>
    <t xml:space="preserve">Attorney login/ Add Activity: There's just a header screen to enter some basic details of Activity but there's no Client/ Target specific Budgeted Cost/ Revenue can be added as detail records - need to review this ASAP </t>
  </si>
  <si>
    <t>Attorney login/ Add Activity: After adding just one simple Team-level activity with Strategic-Group, Section - the Activity list showing around 234 entries - refer screenshots</t>
  </si>
  <si>
    <t>Attorney login/ Add Activity: The Activity Created Date should be defaulted to the current today's date even though can be editable, The Activity Duration Dates should show the calendar popups for next following months (e.g. if Activity Created Date is 12-Dec-2016 then Activity duration dates would be next months from Jan-2017 onwards - typically at least 30-day gap for Activity Approval process etc)</t>
  </si>
  <si>
    <t>Attorney login/ Activity List: The list needs to be adjusted/ simplified (for display) may be with few key columns like Activity Name, Created Date, Origin Attorney, Duration, Status - followed by "Action" menu</t>
  </si>
  <si>
    <t>Attorney login/ My Goals list: This list would be a list of Assigned Clients specific Current Year Goals (based on last three years Client specific Revenue)</t>
  </si>
  <si>
    <t>Firm Admin login/ Add New Attorney Goal: The dropdown list of Attorneys is wrongly showing from different Firms also, pls restrict the dropdown display list of Current Year to may be to current+future 5 years (e.g. 2016-2021)</t>
  </si>
  <si>
    <t>Firm Admin login/ Add New Attorney Goal: Here is the business logic as discussed with Mintu once again - Once a New Attorney joins, s/he will be assigned with some Old Clients and/ or New Targets to achieve a fixed Targeted Revenue for the partial-Current year or next-Full Year so that they can perform their Attorney job well from Marketing/ Sales standpoint; Each Client or Target specific Revenue (by Value or %Percentage) would be based on the dataentry of last three (3) years (e.g. 2014, 2015, 2016) collected revenue by the same firm - this 3yr dataentry might be replaced by the future Accounting module of PLMA.</t>
  </si>
  <si>
    <t>Firm Admin/ Attorney List: While there're already 3-4 Attorneys existing, after one new Attorney added and that particular record is selected for "View" action for verification - then it always shows the wrong Profile details and Photo - only 1st Attorney of the Firm added earlier but not this new/ another existing one that's selected from the Attorney list</t>
  </si>
  <si>
    <t>Firm Admin login: App Users list is showing all Firm-specific Users but  My Profile link is missing to View/ Edit Firm-Admin's own details etc including all Address details in User table</t>
  </si>
  <si>
    <t>Firm Admin/ Client list: When an existing Client record (with proper Attorney link of the same firm in DB) is selected for View/ Edit Action, the UI screen title is wrong in terms of showing the respective Action operation; the missing key info is that in View Client - it's showing Attorney as BLANK and in Edit Client - it's showing only the 1st record from plma_attorney table that's not even connected to the same Firm</t>
  </si>
  <si>
    <t>Firm Admin/ Edit Client - Add Attorney: The list of existing Attorneys from other Firms are also shown in the dropdown list. Since there's an Origin Attorney is already listed in the Client header record, this "Add Attorney" operation is to really link/ associate another Attorney from the same Firm (but the same Origin Attorney) for respective Firm Activity transactions and overall current responsibility/ ownership to take care of the business from this particular Client.</t>
  </si>
  <si>
    <t>US based SSN (Social Security No) for relevant records (User/ Client) can be masked/ formatted as "999-99-9999" as standard input (refer: https://en.wikipedia.org/wiki/Social_Security_number)
But this SSN is to be treated as secured info and need to locked into App security data like a password and restricted access limited to Site or Firm Admins most probably unless otherwise specified by Brian in future..</t>
  </si>
  <si>
    <t>Firm Admin or Attorney login - Add Client: There's no way the user can Add Legal Cases for a specific existing Client - this is a major missing functionality right now!</t>
  </si>
  <si>
    <t>Firm Admin / Target List: There's no Action Menu for View/ Edit a Target</t>
  </si>
  <si>
    <t>Firm Admin / Target-Client Conversion: when Convert Action menu is clicked, please capture all the Conversion high level info (part of plma_tgt_cli_conv table) besides to the missing Client Record details (from plma_client table: e.g. Client ID/ Code etc) so that a proper Client Record can be created for this particular New Target - else there'll be missing info in the New Converted Client record.</t>
  </si>
  <si>
    <t>Firm Admin/ Target-Client Conversion: Please combine the display fields (First/ Last Name) to just "Target Name" with value as "Last Name, First Name", remove the label "Role" showing All Attorneys of All Firms now, change the label "Target Approved By" to "Conversion Approved By" with the clear list of Only "Approvers" of this particular Firm ONLY</t>
  </si>
  <si>
    <t>For All Add/ Edit/ View UI screens with Form fields (with/ without Submit buttons), let's adopt a simple Left-to-Right followed by Top-to-Bottom TabOrder Index (with separate logical sections) to simply make the FreeForm based approach where it's easy for the User to navigate the screen properly and also easy for the Developers to add/ edit/ remove certain Sections/ FormFields as necessary.</t>
  </si>
  <si>
    <t>Attorney login / My Profile - Auto Edit mode: few columns like Section, City are not automatically populated; also please restrict most of crucial info (Monetary Charges/ Cost related) for even View by any Attorney directly to avoid the conflict in the Accounting system itself and allow only few info (Education, Remarks) to be edited by the Attorney.</t>
  </si>
  <si>
    <t>Attorney login / Attorney Goal list: This list should simply show the Client-specific Goals for VIEW purpose only - that means, the display Grid columns should be (SL#, Client Name, Current YR, Current YR Goal, CYR Goal%) to adjust the view properly (Attorney Name, Summary Info, Remarks can be removed if there's too much data going into multiple row display)</t>
  </si>
  <si>
    <t xml:space="preserve">DevosmitaG: This is fixed by JayantaP - pls test and close
</t>
  </si>
  <si>
    <t>DG: Work In-Progress</t>
  </si>
  <si>
    <r>
      <t xml:space="preserve">DG: This functionality has never been implemented and neither discussed . So this is a new functionality which we need to discuss or it would work even better if client can give a work flow regarding howto add cases in existing clients.
</t>
    </r>
    <r>
      <rPr>
        <sz val="10"/>
        <color rgb="FF0070C0"/>
        <rFont val="Calibri"/>
        <family val="2"/>
        <scheme val="minor"/>
      </rPr>
      <t>PK: Please refer plma_client_cases table &amp; PPT for 1:N ER</t>
    </r>
  </si>
  <si>
    <t>PK: Need to discuss this scenario with Brian for an Attorney login of a particular firm in terms of allowing which specific columns to be visible and editable from a real scenario standpoint.</t>
  </si>
  <si>
    <t>PK: Need to discuss the details of this page with Brian in terms of general expectations</t>
  </si>
  <si>
    <t>PK: Mintu, here's the CodeIgniter URL (https://www.codeigniter.com/userguide3/database/transactions.html) for handling DB Transactions properly and Error/ Exception handling.. let's use this last manual approach ethically as follows:  Running Transactions Manually
If you would like to run transactions manually you can do so as follows:
$this-&gt;db-&gt;trans_begin();
$this-&gt;db-&gt;query('AN SQL QUERY...');
$this-&gt;db-&gt;query('ANOTHER QUERY...');
$this-&gt;db-&gt;query('AND YET ANOTHER QUERY...');
if ($this-&gt;db-&gt;trans_status() === FALSE)
{
        // generate an error... or use the log_message() function to log your error
        $this-&gt;db-&gt;trans_rollback();
}
else
{
        $this-&gt;db-&gt;trans_commit();
}
Note
Make sure to use $this-&gt;db-&gt;trans_begin() when running manual transactions, NOT $this-&gt;db-&gt;trans_start().</t>
  </si>
  <si>
    <t>PK: Looks like this major DB issue is concurrent testing by me (Firm#2) and Ria (Firm#1).. since Firm#2 Attorney got now mapped to Firm#1 while inserting into DB.. please check the multi-user sessions properly and review the approach how it's implemented now!</t>
  </si>
  <si>
    <r>
      <t xml:space="preserve">DG: Sir,  Please mention the fields that Site Admin will be able to edit.
</t>
    </r>
    <r>
      <rPr>
        <sz val="10"/>
        <color rgb="FF0070C0"/>
        <rFont val="Calibri"/>
        <family val="2"/>
        <scheme val="minor"/>
      </rPr>
      <t xml:space="preserve">PK: Please refer to list - "non-primary key details" </t>
    </r>
  </si>
  <si>
    <r>
      <t xml:space="preserve">DevosmitaG: Sir,  Please mention the fields that Site Admin will be able to edit.
</t>
    </r>
    <r>
      <rPr>
        <sz val="10"/>
        <color rgb="FF0070C0"/>
        <rFont val="Calibri"/>
        <family val="2"/>
        <scheme val="minor"/>
      </rPr>
      <t xml:space="preserve">PK: Please refer to list - "non-primary key details" </t>
    </r>
  </si>
  <si>
    <t>DevosmitaG: This is fixed by me - pls test and close</t>
  </si>
  <si>
    <t>PK: Refer to the Infographic PDF shared on Skype session</t>
  </si>
  <si>
    <t>DG: This is fixed by me - pls test and close</t>
  </si>
  <si>
    <t>DevosmitaG: This is fixed by MintuG - pls test and close</t>
  </si>
  <si>
    <t>DevosmitaG: This is fixed by JayantaP - pls test and close</t>
  </si>
  <si>
    <t>The main post-login landing page as Dashboard needs to be setup/ tuned separately for all the relevant App Users (SiteAdmin, FirmAdmin, Attorney, EmpStaff) besides to updating the Profile photo (as captured for App Users) on top-right as well</t>
  </si>
  <si>
    <t>The Registred Users list has to be made available for View ONLY for SiteAdmin to check if any Users have signed up from the main login page</t>
  </si>
  <si>
    <t>There has been a Consistency review/ correction of DB columns has been made today - so please validate DB column width matching with UI column widths properly across the whole App</t>
  </si>
  <si>
    <t>PK: In case of any changes to this understanding, we shall wait till Brian does the testing and suggest for any minor changes.</t>
  </si>
  <si>
    <t>Competitor Ranking changes/ addition: SiteAdmin or FirmAdmin will be creating a new Competitor record but all legal-users (e.g. they're Attorneys of the Market themselves like SiteAdmin, FirmAdmin, Attorneys) needs to rank the available Competitors in DB individually as detail record part of Market Research data (currently being created as foundation part of AMS); SiteAdmin or FirmAdmin whoever has created the main Competitor header record, can only edit the specific header details but not other Users; in Competitors List for all these 3 users, pls show all of the available Competitors against which they can do a Market-level ranking; All the Competitor Ranking columns will be a dropdown list populated from App/Firm Codes for "COMPETITOR RANK" code category.</t>
  </si>
  <si>
    <r>
      <t xml:space="preserve">DevosmitaG: This is fixed by me - pls test and close
</t>
    </r>
    <r>
      <rPr>
        <sz val="10"/>
        <color rgb="FF0070C0"/>
        <rFont val="Calibri"/>
        <family val="2"/>
        <scheme val="minor"/>
      </rPr>
      <t>PK/14Dec16: DevChanges Reviewed, seems great - but pls ensure the same mandatory (*) fields for all popup forms too, and all the optional UI columns matching with NULL DB columns properly everywhere</t>
    </r>
  </si>
  <si>
    <t>Email</t>
  </si>
  <si>
    <t>Associated Deals</t>
  </si>
  <si>
    <t>Currently in Sequence</t>
  </si>
  <si>
    <t>Days To Close</t>
  </si>
  <si>
    <t>First Deal Created Date</t>
  </si>
  <si>
    <t>Last Modified Date</t>
  </si>
  <si>
    <t>Lead Status</t>
  </si>
  <si>
    <t>Owner Assigned Date</t>
  </si>
  <si>
    <t>Recent Deal Amount</t>
  </si>
  <si>
    <t>Recent Deal Close Date</t>
  </si>
  <si>
    <t>Recent Sales Email Clicked Date</t>
  </si>
  <si>
    <t>Recent Sales Email Opened Date</t>
  </si>
  <si>
    <t>Recent Sales Email Replied Date</t>
  </si>
  <si>
    <t>Total Revenue</t>
  </si>
  <si>
    <t>First Name</t>
  </si>
  <si>
    <t>Law Firm Best Practices Blog Email Subscription</t>
  </si>
  <si>
    <t>Market Matters Email Subscription</t>
  </si>
  <si>
    <t>Test Blog Email Subscription</t>
  </si>
  <si>
    <t>performlaw-blog-test Email Subscription</t>
  </si>
  <si>
    <t>Are you interested in our services?</t>
  </si>
  <si>
    <t>Last Name</t>
  </si>
  <si>
    <t>Firm Name</t>
  </si>
  <si>
    <t>Salutation</t>
  </si>
  <si>
    <t>Email Lists</t>
  </si>
  <si>
    <t>Persona</t>
  </si>
  <si>
    <t>Mobile Phone Number</t>
  </si>
  <si>
    <t>Phone Number</t>
  </si>
  <si>
    <t>Webinar Topic</t>
  </si>
  <si>
    <t>Fax Number</t>
  </si>
  <si>
    <t>Number of timekeepers (lawyer and non lawyers)</t>
  </si>
  <si>
    <t>Owner ID</t>
  </si>
  <si>
    <t>Last Activity Date</t>
  </si>
  <si>
    <t>Last Contacted</t>
  </si>
  <si>
    <t>Last Meeting Booked</t>
  </si>
  <si>
    <t>Next Activity Date</t>
  </si>
  <si>
    <t>Number of Notes</t>
  </si>
  <si>
    <t>Number of times contacted</t>
  </si>
  <si>
    <t>Street Address</t>
  </si>
  <si>
    <t>Time and Billing System</t>
  </si>
  <si>
    <t>City</t>
  </si>
  <si>
    <t>Detail Level</t>
  </si>
  <si>
    <t>Gender</t>
  </si>
  <si>
    <t>State/Region</t>
  </si>
  <si>
    <t>Law School Graduation Date</t>
  </si>
  <si>
    <t>Postal Code</t>
  </si>
  <si>
    <t>Constant Contact List</t>
  </si>
  <si>
    <t>Country</t>
  </si>
  <si>
    <t>Job Title</t>
  </si>
  <si>
    <t>Presentation Topics of Interest</t>
  </si>
  <si>
    <t>Message</t>
  </si>
  <si>
    <t>Topics of Interest</t>
  </si>
  <si>
    <t>Bar Date Year</t>
  </si>
  <si>
    <t>Close Date</t>
  </si>
  <si>
    <t>Lifecycle Stage</t>
  </si>
  <si>
    <t>Became a Lead Date</t>
  </si>
  <si>
    <t>Became a Marketing Qualified Lead Date</t>
  </si>
  <si>
    <t>Became an Opportunity Date</t>
  </si>
  <si>
    <t>IP Address</t>
  </si>
  <si>
    <t>Became a Sales Qualified Lead Date</t>
  </si>
  <si>
    <t>Create Date</t>
  </si>
  <si>
    <t>Became an Evangelist Date</t>
  </si>
  <si>
    <t>HubSpot Score</t>
  </si>
  <si>
    <t>Became a Customer Date</t>
  </si>
  <si>
    <t>Company Name</t>
  </si>
  <si>
    <t>Became a Subscriber Date</t>
  </si>
  <si>
    <t>Website URL</t>
  </si>
  <si>
    <t>Became an Other Lifecycle Date</t>
  </si>
  <si>
    <t>Number of Employees</t>
  </si>
  <si>
    <t>Annual Revenue</t>
  </si>
  <si>
    <t>Industry</t>
  </si>
  <si>
    <t>Twitter Username</t>
  </si>
  <si>
    <t>Follower Count</t>
  </si>
  <si>
    <t>Twitter Profile Photo</t>
  </si>
  <si>
    <t>Most Recent Social Click</t>
  </si>
  <si>
    <t>Twitter Clicks</t>
  </si>
  <si>
    <t>Facebook Clicks</t>
  </si>
  <si>
    <t>LinkedIn Clicks</t>
  </si>
  <si>
    <t>Google Plus Clicks</t>
  </si>
  <si>
    <t>LinkedIn Bio</t>
  </si>
  <si>
    <t>Twitter Bio</t>
  </si>
  <si>
    <t>Broadcast Clicks</t>
  </si>
  <si>
    <t>LinkedIn Connections</t>
  </si>
  <si>
    <t>Klout Score</t>
  </si>
  <si>
    <t>Email Confirmation Status</t>
  </si>
  <si>
    <t>Sends Since Last Engagement</t>
  </si>
  <si>
    <t>Emails Delivered</t>
  </si>
  <si>
    <t>Opted out of email: Law Firm Best Practices Blog Subscription</t>
  </si>
  <si>
    <t>Opted out of email: Market Matters Subscription</t>
  </si>
  <si>
    <t>Opted out of email: Marketing Information</t>
  </si>
  <si>
    <t>Opted out of email: Test Blog Subscription</t>
  </si>
  <si>
    <t>Currently in workflow</t>
  </si>
  <si>
    <t>Emails Opened</t>
  </si>
  <si>
    <t>Emails Clicked</t>
  </si>
  <si>
    <t>Emails Bounced</t>
  </si>
  <si>
    <t>Opted out of all email</t>
  </si>
  <si>
    <t>Last email name</t>
  </si>
  <si>
    <t>Last email send date</t>
  </si>
  <si>
    <t>Last email open date</t>
  </si>
  <si>
    <t>Last email click date</t>
  </si>
  <si>
    <t>First email send date</t>
  </si>
  <si>
    <t>First email open date</t>
  </si>
  <si>
    <t>First email click date</t>
  </si>
  <si>
    <t>First Page Seen</t>
  </si>
  <si>
    <t>Last Page Seen</t>
  </si>
  <si>
    <t>Number of Pageviews</t>
  </si>
  <si>
    <t>Number of Visits</t>
  </si>
  <si>
    <t>Number of event completions</t>
  </si>
  <si>
    <t>Time First Seen</t>
  </si>
  <si>
    <t>Time of First Visit</t>
  </si>
  <si>
    <t>Time Last Seen</t>
  </si>
  <si>
    <t>Time of Last Session</t>
  </si>
  <si>
    <t>Original Source Type</t>
  </si>
  <si>
    <t>Original Source Data 1</t>
  </si>
  <si>
    <t>Original Source Data 2</t>
  </si>
  <si>
    <t>First Referring Site</t>
  </si>
  <si>
    <t>Last Referring Site</t>
  </si>
  <si>
    <t>Average Pageviews</t>
  </si>
  <si>
    <t>Revenue</t>
  </si>
  <si>
    <t>First Conversion</t>
  </si>
  <si>
    <t>First Conversion Date</t>
  </si>
  <si>
    <t>IP City</t>
  </si>
  <si>
    <t>IP Country</t>
  </si>
  <si>
    <t>IP Country Code</t>
  </si>
  <si>
    <t>IP State Code/Region Code</t>
  </si>
  <si>
    <t>IP State/Region</t>
  </si>
  <si>
    <t>Number of Form Submissions</t>
  </si>
  <si>
    <t>Number of Unique Forms Submitted</t>
  </si>
  <si>
    <t>Recent Conversion</t>
  </si>
  <si>
    <t>Recent Conversion Date</t>
  </si>
  <si>
    <t>Recent Conversion (Form Title)</t>
  </si>
  <si>
    <t>Recent Conversion (Page Title)</t>
  </si>
  <si>
    <t>Recent Conversion (Date)</t>
  </si>
  <si>
    <t>Added To List On</t>
  </si>
  <si>
    <t>About Us</t>
  </si>
  <si>
    <t>Associated Contacts</t>
  </si>
  <si>
    <t>Is Public</t>
  </si>
  <si>
    <t>Time Zone</t>
  </si>
  <si>
    <t>Total Money Raised</t>
  </si>
  <si>
    <t>Year Founded</t>
  </si>
  <si>
    <t>Name</t>
  </si>
  <si>
    <t>Street Address 2</t>
  </si>
  <si>
    <t>Company Owner ID</t>
  </si>
  <si>
    <t>Company Domain Name</t>
  </si>
  <si>
    <t>Type</t>
  </si>
  <si>
    <t>Description</t>
  </si>
  <si>
    <t>First Contact Create Date</t>
  </si>
  <si>
    <t>Facebook Fans</t>
  </si>
  <si>
    <t>Twitter Handle</t>
  </si>
  <si>
    <t>Twitter Followers</t>
  </si>
  <si>
    <t>Facebook Company Page</t>
  </si>
  <si>
    <t>LinkedIn Company Page</t>
  </si>
  <si>
    <t>Google Plus Page</t>
  </si>
  <si>
    <t>Days to Close</t>
  </si>
  <si>
    <t>mbrown@sullivanstolier.com</t>
  </si>
  <si>
    <t>Matthew</t>
  </si>
  <si>
    <t>Brown</t>
  </si>
  <si>
    <t>Sullivan Stolier LLC</t>
  </si>
  <si>
    <t>25-35 Years Out</t>
  </si>
  <si>
    <t>504-561-1044</t>
  </si>
  <si>
    <t>504-561-8606</t>
  </si>
  <si>
    <t>New Orleans</t>
  </si>
  <si>
    <t>Male</t>
  </si>
  <si>
    <t>USA</t>
  </si>
  <si>
    <t>Attorney</t>
  </si>
  <si>
    <t>Subscriber</t>
  </si>
  <si>
    <t>166.137.126.15</t>
  </si>
  <si>
    <t>Using Data to Determine Partner Compensation</t>
  </si>
  <si>
    <t>Offline Sources</t>
  </si>
  <si>
    <t>CONTACTS_WEB</t>
  </si>
  <si>
    <t>support@performlaw.com</t>
  </si>
  <si>
    <t>united states</t>
  </si>
  <si>
    <t>us</t>
  </si>
  <si>
    <t>LA</t>
  </si>
  <si>
    <t>Brian Kennel</t>
  </si>
  <si>
    <t>sullivanstolier.com</t>
  </si>
  <si>
    <t>Law Practice</t>
  </si>
  <si>
    <t>https://www.linkedin.com/company/sullivan-stolier-kovata-knight-lc</t>
  </si>
  <si>
    <t>brian@performlaw.com</t>
  </si>
  <si>
    <t>mmeunier@sullivanstolier.com</t>
  </si>
  <si>
    <t>Michael</t>
  </si>
  <si>
    <t>Meunier</t>
  </si>
  <si>
    <t xml:space="preserve">Sullivan Stolier LLC </t>
  </si>
  <si>
    <t>166.137.143.127</t>
  </si>
  <si>
    <t>ibonilla@sullivanstolier.com</t>
  </si>
  <si>
    <t>Isabel</t>
  </si>
  <si>
    <t>Bonilla-Mathe</t>
  </si>
  <si>
    <t>0-5 Years Out</t>
  </si>
  <si>
    <t>Female</t>
  </si>
  <si>
    <t>166.137.136.82</t>
  </si>
  <si>
    <t>tx</t>
  </si>
  <si>
    <t>texas</t>
  </si>
  <si>
    <t>ssullivan@sullivanstolier.com</t>
  </si>
  <si>
    <t>Stephen</t>
  </si>
  <si>
    <t>Sullivan</t>
  </si>
  <si>
    <t>35-40 Years Out</t>
  </si>
  <si>
    <t>337-233-6210</t>
  </si>
  <si>
    <t>337-233-6215</t>
  </si>
  <si>
    <t>Lafayette</t>
  </si>
  <si>
    <t>Founding Partner</t>
  </si>
  <si>
    <t>Customer</t>
  </si>
  <si>
    <t>166.137.139.120</t>
  </si>
  <si>
    <t>dallas</t>
  </si>
  <si>
    <t>mschulze@sullivanstolier.com</t>
  </si>
  <si>
    <t>Schulze</t>
  </si>
  <si>
    <t>15-20 Years Out</t>
  </si>
  <si>
    <t>50.58.213.158</t>
  </si>
  <si>
    <t>new orleans</t>
  </si>
  <si>
    <t>la</t>
  </si>
  <si>
    <t>louisiana</t>
  </si>
  <si>
    <t>lambler@sullivanstolier.com</t>
  </si>
  <si>
    <t>Lauren</t>
  </si>
  <si>
    <t>Ambler</t>
  </si>
  <si>
    <t>05-10 Years Out</t>
  </si>
  <si>
    <t>mbuford@sullivanstolier.com</t>
  </si>
  <si>
    <t>Michelle</t>
  </si>
  <si>
    <t>Buford</t>
  </si>
  <si>
    <t>jstolier@sullivanstolier.com</t>
  </si>
  <si>
    <t>Jack</t>
  </si>
  <si>
    <t>Stolier</t>
  </si>
  <si>
    <t>40+ Years Out</t>
  </si>
  <si>
    <t>Louisiana</t>
  </si>
  <si>
    <t>Founding Member</t>
  </si>
  <si>
    <t>166.137.118.121</t>
  </si>
  <si>
    <t>http://www.performlaw.com/blog/law-firm-associate-contributions-hours?utm_source=hs_email&amp;utm_medium=email&amp;utm_content=28110942&amp;_hsenc=p2ANqtz-9gzmzmaFmSjDL91pVBVgdqu7jT0zgTeUlNZlRvAmnBeembTJ8-Zmp7-ZQ6j5tCvXem_vYdghLfoRV9oR0smW7kKip5zKTjDBo0p8DrACaYBX7H1wk&amp;_hsmi=28110942</t>
  </si>
  <si>
    <t>http://www.performlaw.com/blog/law-firm-associate-setting-expectations?utm_source=hs_email&amp;utm_medium=email&amp;utm_content=29280759&amp;_hsenc=p2ANqtz-9Lk7sfPTj1SVU9PDvbMyIpfNivqiWEK0T6_kcy4BgVy0jDtACvyWJc95IC9oT-nN6GLhk-sKzms5AnIPNAhQeyDM5EQXziRk5GXgev9hrRlhhWvFU&amp;_hsmi=29280759</t>
  </si>
  <si>
    <t>gbrown@sullivanstolier.com</t>
  </si>
  <si>
    <t>Galen</t>
  </si>
  <si>
    <t>llupin@sullivanstolier.com</t>
  </si>
  <si>
    <t>Louis</t>
  </si>
  <si>
    <t>Lupin</t>
  </si>
  <si>
    <t>csellers@sullivanstolier.com</t>
  </si>
  <si>
    <t>Christopher</t>
  </si>
  <si>
    <t>Sellers, Jr.</t>
  </si>
  <si>
    <t>Associate</t>
  </si>
  <si>
    <t>PK: Please refer "data-import" sheet for sample &amp; respective DB mapping to our current PLMA DB schema</t>
  </si>
  <si>
    <t>PLMA DB SCHEMA Mapping Field(s)</t>
  </si>
  <si>
    <t>plma_user.user_id</t>
  </si>
  <si>
    <t>plma_user.user_first_name</t>
  </si>
  <si>
    <t>plma_user.user_last_name</t>
  </si>
  <si>
    <t>plma_user.remarks_notes</t>
  </si>
  <si>
    <t>plma_firm.firm_name</t>
  </si>
  <si>
    <t>plma_attorney.attorney_first_name</t>
  </si>
  <si>
    <t>plma_attorney.attorney_last_name</t>
  </si>
  <si>
    <t>plma_attorney.attorney_gender</t>
  </si>
  <si>
    <t>plma_attorney.attorney_education</t>
  </si>
  <si>
    <t>plma_attorney.practice_date</t>
  </si>
  <si>
    <t>plma_attorney.web_bio_page_url</t>
  </si>
  <si>
    <t>plma_attorney.industry_type</t>
  </si>
  <si>
    <t>plma_attorney.remarks_notes</t>
  </si>
  <si>
    <t>plma_address.address_line1</t>
  </si>
  <si>
    <t>plma_address.address_line2</t>
  </si>
  <si>
    <t>plma_address.city</t>
  </si>
  <si>
    <t>plma_address.state</t>
  </si>
  <si>
    <t>plma_address.postal_code</t>
  </si>
  <si>
    <t>plma_address.country</t>
  </si>
  <si>
    <t>plma_address.email</t>
  </si>
  <si>
    <t>plma_address.phone</t>
  </si>
  <si>
    <t>plma_address.fax</t>
  </si>
  <si>
    <t>plma_address.mobile_cell</t>
  </si>
  <si>
    <t>plma_address.website_url</t>
  </si>
  <si>
    <t>plma_address.social_media_url</t>
  </si>
  <si>
    <t>plma_address.remarks_notes</t>
  </si>
  <si>
    <r>
      <t xml:space="preserve">Mintu, as I was discussing this morning - Brian's asking us to create some kind of import utility to plugin these 3 firms, their attorneys with respective data/ address details into our system (especially our dev/ QA DBs).. currently these 3 are real-CSV files but he may need more.. let's discuss if you've any queries.. 
</t>
    </r>
    <r>
      <rPr>
        <sz val="10"/>
        <color rgb="FF0070C0"/>
        <rFont val="Calibri"/>
        <family val="2"/>
        <scheme val="minor"/>
      </rPr>
      <t>Here is the initial logic of Import/ ETL (Extraction-Transformation-Load) tool (unless Brian has something more to include later):
1. Read the respective Excel/ CSV file to import
2. Create a DB-specific Temp table (of all the XLS/ CSV file-columns) on-the-fly to read/ extract/ parse each row+col (of the XLS/ CSV file) to transform into that DB temp table with all the records till the end
3. Since PLMA DB schema has mandatory Key/ Non-Key fields, there's a need to create some Default Value for those DB Table mapping with a clear-cut UI &amp; DB Table Status Flag column somewhere as "IMPORTED Data" - that means, the User will be alerted to update rest of the Default Values (of mandatory columns) to the relevant values from PLMA DB
4. For each specific BATCH of IMPORT per Firm, there's a need to clearly identify which among those One/ More Attorney(s) to play the Role of "FirmAdmin" and "Activity/ Transaction Approvers" so that their App sign-in roles can be properly identified.</t>
    </r>
  </si>
  <si>
    <t>plma_address.postal_cpde</t>
  </si>
  <si>
    <t>plma_attorney.job_title</t>
  </si>
  <si>
    <t>plma_user.designation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</si>
</sst>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9"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sz val="8"/>
      <color theme="1"/>
      <name val="Calibri"/>
      <family val="2"/>
      <scheme val="minor"/>
    </font>
    <font>
      <sz val="10"/>
      <color rgb="FF0070C0"/>
      <name val="Calibri"/>
      <family val="2"/>
      <scheme val="minor"/>
    </font>
    <font>
      <b/>
      <sz val="8"/>
      <color theme="1"/>
      <name val="Calibri"/>
      <family val="2"/>
      <scheme val="minor"/>
    </font>
    <font>
      <b/>
      <sz val="8"/>
      <color rgb="FF0070C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1" xfId="0" applyFont="1" applyBorder="1" applyAlignment="1">
      <alignment horizontal="center"/>
    </xf>
    <xf numFmtId="0" fontId="2" fillId="0" borderId="1" xfId="0" applyFont="1" applyBorder="1"/>
    <xf numFmtId="0" fontId="2" fillId="0" borderId="0" xfId="0" applyFont="1" applyAlignment="1">
      <alignment horizontal="center"/>
    </xf>
    <xf numFmtId="0" fontId="2" fillId="0" borderId="1" xfId="0" applyFont="1" applyBorder="1" applyAlignment="1">
      <alignment horizontal="center"/>
    </xf>
    <xf numFmtId="164" fontId="2" fillId="0" borderId="1" xfId="0" applyNumberFormat="1" applyFont="1" applyBorder="1" applyAlignment="1">
      <alignment horizontal="center"/>
    </xf>
    <xf numFmtId="0" fontId="2" fillId="0" borderId="1" xfId="0" applyFont="1" applyBorder="1" applyAlignment="1">
      <alignment wrapText="1"/>
    </xf>
    <xf numFmtId="0" fontId="4" fillId="0" borderId="1" xfId="0" applyFont="1" applyBorder="1" applyAlignment="1">
      <alignment wrapText="1"/>
    </xf>
    <xf numFmtId="0" fontId="5" fillId="0" borderId="1" xfId="0" applyFont="1" applyBorder="1" applyAlignment="1">
      <alignment wrapText="1"/>
    </xf>
    <xf numFmtId="0" fontId="7" fillId="2" borderId="0" xfId="0" applyFont="1" applyFill="1"/>
    <xf numFmtId="0" fontId="5" fillId="0" borderId="0" xfId="0" applyFont="1"/>
    <xf numFmtId="0" fontId="5" fillId="2" borderId="0" xfId="0" applyFont="1" applyFill="1"/>
    <xf numFmtId="22" fontId="5" fillId="0" borderId="0" xfId="0" applyNumberFormat="1" applyFont="1"/>
    <xf numFmtId="0" fontId="8" fillId="0" borderId="0" xfId="0" applyFont="1"/>
    <xf numFmtId="0" fontId="8" fillId="2" borderId="0" xfId="0" applyFon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19050</xdr:colOff>
      <xdr:row>1</xdr:row>
      <xdr:rowOff>19050</xdr:rowOff>
    </xdr:from>
    <xdr:to>
      <xdr:col>19</xdr:col>
      <xdr:colOff>28575</xdr:colOff>
      <xdr:row>30</xdr:row>
      <xdr:rowOff>37315</xdr:rowOff>
    </xdr:to>
    <xdr:pic>
      <xdr:nvPicPr>
        <xdr:cNvPr id="2" name="Picture 1"/>
        <xdr:cNvPicPr>
          <a:picLocks noChangeAspect="1"/>
        </xdr:cNvPicPr>
      </xdr:nvPicPr>
      <xdr:blipFill>
        <a:blip xmlns:r="http://schemas.openxmlformats.org/officeDocument/2006/relationships" r:embed="rId1"/>
        <a:stretch>
          <a:fillRect/>
        </a:stretch>
      </xdr:blipFill>
      <xdr:spPr>
        <a:xfrm>
          <a:off x="6115050" y="209550"/>
          <a:ext cx="5495925" cy="554276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93"/>
  <sheetViews>
    <sheetView tabSelected="1" workbookViewId="0">
      <pane ySplit="3" topLeftCell="A66" activePane="bottomLeft" state="frozen"/>
      <selection pane="bottomLeft" activeCell="C67" sqref="C67"/>
    </sheetView>
  </sheetViews>
  <sheetFormatPr defaultRowHeight="12.75" x14ac:dyDescent="0.2"/>
  <cols>
    <col min="1" max="1" width="3.42578125" style="5" bestFit="1" customWidth="1"/>
    <col min="2" max="2" width="11.5703125" style="5" customWidth="1"/>
    <col min="3" max="3" width="57.85546875" style="2" bestFit="1" customWidth="1"/>
    <col min="4" max="4" width="35.5703125" style="2" customWidth="1"/>
    <col min="5" max="5" width="12.140625" style="5" customWidth="1"/>
    <col min="6" max="6" width="51.5703125" style="2" customWidth="1"/>
    <col min="7" max="16384" width="9.140625" style="2"/>
  </cols>
  <sheetData>
    <row r="1" spans="1:6" ht="15" x14ac:dyDescent="0.25">
      <c r="C1" s="1" t="s">
        <v>0</v>
      </c>
    </row>
    <row r="3" spans="1:6" x14ac:dyDescent="0.2">
      <c r="A3" s="3" t="s">
        <v>1</v>
      </c>
      <c r="B3" s="3" t="s">
        <v>2</v>
      </c>
      <c r="C3" s="3" t="s">
        <v>25</v>
      </c>
      <c r="D3" s="3" t="s">
        <v>3</v>
      </c>
      <c r="E3" s="3" t="s">
        <v>4</v>
      </c>
      <c r="F3" s="3" t="s">
        <v>5</v>
      </c>
    </row>
    <row r="4" spans="1:6" ht="51" x14ac:dyDescent="0.2">
      <c r="A4" s="6">
        <v>1</v>
      </c>
      <c r="B4" s="7">
        <v>42710</v>
      </c>
      <c r="C4" s="8" t="s">
        <v>6</v>
      </c>
      <c r="D4" s="4"/>
      <c r="E4" s="6" t="s">
        <v>23</v>
      </c>
      <c r="F4" s="8"/>
    </row>
    <row r="5" spans="1:6" ht="38.25" x14ac:dyDescent="0.2">
      <c r="A5" s="6">
        <f>A4+1</f>
        <v>2</v>
      </c>
      <c r="B5" s="7">
        <v>42710</v>
      </c>
      <c r="C5" s="8" t="s">
        <v>7</v>
      </c>
      <c r="D5" s="4"/>
      <c r="E5" s="6" t="s">
        <v>16</v>
      </c>
      <c r="F5" s="8" t="s">
        <v>69</v>
      </c>
    </row>
    <row r="6" spans="1:6" ht="38.25" x14ac:dyDescent="0.2">
      <c r="A6" s="6">
        <f t="shared" ref="A6:A28" si="0">A5+1</f>
        <v>3</v>
      </c>
      <c r="B6" s="7">
        <v>42710</v>
      </c>
      <c r="C6" s="8" t="s">
        <v>8</v>
      </c>
      <c r="D6" s="4"/>
      <c r="E6" s="6" t="s">
        <v>23</v>
      </c>
      <c r="F6" s="8"/>
    </row>
    <row r="7" spans="1:6" ht="89.25" x14ac:dyDescent="0.2">
      <c r="A7" s="6">
        <f t="shared" si="0"/>
        <v>4</v>
      </c>
      <c r="B7" s="7">
        <v>42710</v>
      </c>
      <c r="C7" s="8" t="s">
        <v>9</v>
      </c>
      <c r="D7" s="4"/>
      <c r="E7" s="6" t="s">
        <v>23</v>
      </c>
      <c r="F7" s="8"/>
    </row>
    <row r="8" spans="1:6" ht="25.5" x14ac:dyDescent="0.2">
      <c r="A8" s="6">
        <f t="shared" si="0"/>
        <v>5</v>
      </c>
      <c r="B8" s="7">
        <v>42710</v>
      </c>
      <c r="C8" s="8" t="s">
        <v>10</v>
      </c>
      <c r="D8" s="4" t="s">
        <v>17</v>
      </c>
      <c r="E8" s="6" t="s">
        <v>16</v>
      </c>
      <c r="F8" s="8"/>
    </row>
    <row r="9" spans="1:6" ht="51" x14ac:dyDescent="0.2">
      <c r="A9" s="6">
        <f t="shared" si="0"/>
        <v>6</v>
      </c>
      <c r="B9" s="7">
        <v>42710</v>
      </c>
      <c r="C9" s="8" t="s">
        <v>11</v>
      </c>
      <c r="D9" s="4"/>
      <c r="E9" s="6" t="s">
        <v>16</v>
      </c>
      <c r="F9" s="8" t="s">
        <v>78</v>
      </c>
    </row>
    <row r="10" spans="1:6" ht="63.75" x14ac:dyDescent="0.2">
      <c r="A10" s="6">
        <f t="shared" si="0"/>
        <v>7</v>
      </c>
      <c r="B10" s="7">
        <v>42710</v>
      </c>
      <c r="C10" s="8" t="s">
        <v>12</v>
      </c>
      <c r="D10" s="4"/>
      <c r="E10" s="6" t="s">
        <v>16</v>
      </c>
      <c r="F10" s="8" t="s">
        <v>88</v>
      </c>
    </row>
    <row r="11" spans="1:6" ht="25.5" x14ac:dyDescent="0.2">
      <c r="A11" s="6">
        <f t="shared" si="0"/>
        <v>8</v>
      </c>
      <c r="B11" s="7">
        <v>42710</v>
      </c>
      <c r="C11" s="8" t="s">
        <v>13</v>
      </c>
      <c r="D11" s="4"/>
      <c r="E11" s="6" t="s">
        <v>16</v>
      </c>
      <c r="F11" s="8" t="s">
        <v>78</v>
      </c>
    </row>
    <row r="12" spans="1:6" ht="89.25" x14ac:dyDescent="0.2">
      <c r="A12" s="6">
        <f t="shared" si="0"/>
        <v>9</v>
      </c>
      <c r="B12" s="7">
        <v>42710</v>
      </c>
      <c r="C12" s="8" t="s">
        <v>14</v>
      </c>
      <c r="D12" s="4"/>
      <c r="E12" s="6" t="s">
        <v>16</v>
      </c>
      <c r="F12" s="8" t="s">
        <v>81</v>
      </c>
    </row>
    <row r="13" spans="1:6" ht="38.25" x14ac:dyDescent="0.2">
      <c r="A13" s="6">
        <f t="shared" si="0"/>
        <v>10</v>
      </c>
      <c r="B13" s="7">
        <v>42710</v>
      </c>
      <c r="C13" s="8" t="s">
        <v>15</v>
      </c>
      <c r="D13" s="4"/>
      <c r="E13" s="6" t="s">
        <v>23</v>
      </c>
      <c r="F13" s="8"/>
    </row>
    <row r="14" spans="1:6" ht="76.5" x14ac:dyDescent="0.2">
      <c r="A14" s="6">
        <f t="shared" si="0"/>
        <v>11</v>
      </c>
      <c r="B14" s="7">
        <v>42712</v>
      </c>
      <c r="C14" s="8" t="s">
        <v>18</v>
      </c>
      <c r="D14" s="4"/>
      <c r="E14" s="6" t="s">
        <v>23</v>
      </c>
      <c r="F14" s="8"/>
    </row>
    <row r="15" spans="1:6" ht="270" x14ac:dyDescent="0.2">
      <c r="A15" s="6">
        <f t="shared" si="0"/>
        <v>12</v>
      </c>
      <c r="B15" s="7">
        <v>42712</v>
      </c>
      <c r="C15" s="8" t="s">
        <v>19</v>
      </c>
      <c r="D15" s="4"/>
      <c r="E15" s="6" t="s">
        <v>23</v>
      </c>
      <c r="F15" s="10" t="s">
        <v>74</v>
      </c>
    </row>
    <row r="16" spans="1:6" ht="63.75" x14ac:dyDescent="0.2">
      <c r="A16" s="6">
        <f t="shared" si="0"/>
        <v>13</v>
      </c>
      <c r="B16" s="7">
        <v>42712</v>
      </c>
      <c r="C16" s="8" t="s">
        <v>20</v>
      </c>
      <c r="D16" s="4"/>
      <c r="E16" s="6" t="s">
        <v>23</v>
      </c>
      <c r="F16" s="9" t="s">
        <v>75</v>
      </c>
    </row>
    <row r="17" spans="1:6" ht="63.75" x14ac:dyDescent="0.2">
      <c r="A17" s="6">
        <f t="shared" si="0"/>
        <v>14</v>
      </c>
      <c r="B17" s="7">
        <v>42712</v>
      </c>
      <c r="C17" s="8" t="s">
        <v>21</v>
      </c>
      <c r="D17" s="4"/>
      <c r="E17" s="6" t="s">
        <v>16</v>
      </c>
      <c r="F17" s="8" t="s">
        <v>82</v>
      </c>
    </row>
    <row r="18" spans="1:6" ht="38.25" x14ac:dyDescent="0.2">
      <c r="A18" s="6">
        <f t="shared" si="0"/>
        <v>15</v>
      </c>
      <c r="B18" s="7">
        <v>42712</v>
      </c>
      <c r="C18" s="8" t="s">
        <v>22</v>
      </c>
      <c r="D18" s="4"/>
      <c r="E18" s="6" t="s">
        <v>16</v>
      </c>
      <c r="F18" s="8" t="s">
        <v>81</v>
      </c>
    </row>
    <row r="19" spans="1:6" ht="63.75" x14ac:dyDescent="0.2">
      <c r="A19" s="6">
        <f t="shared" si="0"/>
        <v>16</v>
      </c>
      <c r="B19" s="7">
        <v>42712</v>
      </c>
      <c r="C19" s="8" t="s">
        <v>24</v>
      </c>
      <c r="D19" s="4"/>
      <c r="E19" s="6" t="s">
        <v>23</v>
      </c>
      <c r="F19" s="8"/>
    </row>
    <row r="20" spans="1:6" ht="25.5" x14ac:dyDescent="0.2">
      <c r="A20" s="6">
        <f t="shared" si="0"/>
        <v>17</v>
      </c>
      <c r="B20" s="7">
        <v>42713</v>
      </c>
      <c r="C20" s="8" t="s">
        <v>26</v>
      </c>
      <c r="D20" s="4"/>
      <c r="E20" s="6" t="s">
        <v>16</v>
      </c>
      <c r="F20" s="8" t="s">
        <v>78</v>
      </c>
    </row>
    <row r="21" spans="1:6" ht="25.5" x14ac:dyDescent="0.2">
      <c r="A21" s="6">
        <f t="shared" si="0"/>
        <v>18</v>
      </c>
      <c r="B21" s="7">
        <v>42713</v>
      </c>
      <c r="C21" s="8" t="s">
        <v>28</v>
      </c>
      <c r="D21" s="4"/>
      <c r="E21" s="6" t="s">
        <v>16</v>
      </c>
      <c r="F21" s="8" t="s">
        <v>81</v>
      </c>
    </row>
    <row r="22" spans="1:6" ht="25.5" x14ac:dyDescent="0.2">
      <c r="A22" s="6">
        <f t="shared" si="0"/>
        <v>19</v>
      </c>
      <c r="B22" s="7">
        <v>42713</v>
      </c>
      <c r="C22" s="8" t="s">
        <v>29</v>
      </c>
      <c r="D22" s="4"/>
      <c r="E22" s="6" t="s">
        <v>23</v>
      </c>
      <c r="F22" s="8"/>
    </row>
    <row r="23" spans="1:6" ht="38.25" x14ac:dyDescent="0.2">
      <c r="A23" s="6">
        <f t="shared" si="0"/>
        <v>20</v>
      </c>
      <c r="B23" s="7">
        <v>42713</v>
      </c>
      <c r="C23" s="8" t="s">
        <v>30</v>
      </c>
      <c r="D23" s="4"/>
      <c r="E23" s="6" t="s">
        <v>23</v>
      </c>
      <c r="F23" s="8" t="s">
        <v>77</v>
      </c>
    </row>
    <row r="24" spans="1:6" x14ac:dyDescent="0.2">
      <c r="A24" s="6">
        <f t="shared" si="0"/>
        <v>21</v>
      </c>
      <c r="B24" s="7">
        <v>42713</v>
      </c>
      <c r="C24" s="8" t="s">
        <v>33</v>
      </c>
      <c r="D24" s="4"/>
      <c r="E24" s="6" t="s">
        <v>23</v>
      </c>
      <c r="F24" s="8"/>
    </row>
    <row r="25" spans="1:6" ht="25.5" x14ac:dyDescent="0.2">
      <c r="A25" s="6">
        <f t="shared" si="0"/>
        <v>22</v>
      </c>
      <c r="B25" s="7">
        <v>42713</v>
      </c>
      <c r="C25" s="8" t="s">
        <v>31</v>
      </c>
      <c r="D25" s="4"/>
      <c r="E25" s="6" t="s">
        <v>23</v>
      </c>
      <c r="F25" s="8"/>
    </row>
    <row r="26" spans="1:6" ht="25.5" x14ac:dyDescent="0.2">
      <c r="A26" s="6">
        <f t="shared" si="0"/>
        <v>23</v>
      </c>
      <c r="B26" s="7">
        <v>42713</v>
      </c>
      <c r="C26" s="8" t="s">
        <v>32</v>
      </c>
      <c r="D26" s="4"/>
      <c r="E26" s="6" t="s">
        <v>23</v>
      </c>
      <c r="F26" s="8"/>
    </row>
    <row r="27" spans="1:6" ht="38.25" x14ac:dyDescent="0.2">
      <c r="A27" s="6">
        <f t="shared" si="0"/>
        <v>24</v>
      </c>
      <c r="B27" s="7">
        <v>42713</v>
      </c>
      <c r="C27" s="8" t="s">
        <v>34</v>
      </c>
      <c r="D27" s="4"/>
      <c r="E27" s="6" t="s">
        <v>23</v>
      </c>
      <c r="F27" s="8" t="s">
        <v>79</v>
      </c>
    </row>
    <row r="28" spans="1:6" ht="51" x14ac:dyDescent="0.2">
      <c r="A28" s="6">
        <f t="shared" si="0"/>
        <v>25</v>
      </c>
      <c r="B28" s="7">
        <v>42713</v>
      </c>
      <c r="C28" s="8" t="s">
        <v>35</v>
      </c>
      <c r="D28" s="4"/>
      <c r="E28" s="6" t="s">
        <v>23</v>
      </c>
      <c r="F28" s="8"/>
    </row>
    <row r="29" spans="1:6" ht="25.5" x14ac:dyDescent="0.2">
      <c r="A29" s="6">
        <f t="shared" ref="A29:A92" si="1">A28+1</f>
        <v>26</v>
      </c>
      <c r="B29" s="7">
        <v>42713</v>
      </c>
      <c r="C29" s="8" t="s">
        <v>36</v>
      </c>
      <c r="D29" s="4"/>
      <c r="E29" s="6" t="s">
        <v>23</v>
      </c>
      <c r="F29" s="8"/>
    </row>
    <row r="30" spans="1:6" ht="38.25" x14ac:dyDescent="0.2">
      <c r="A30" s="6">
        <f t="shared" si="1"/>
        <v>27</v>
      </c>
      <c r="B30" s="7">
        <v>42713</v>
      </c>
      <c r="C30" s="8" t="s">
        <v>37</v>
      </c>
      <c r="D30" s="4"/>
      <c r="E30" s="6" t="s">
        <v>23</v>
      </c>
      <c r="F30" s="8"/>
    </row>
    <row r="31" spans="1:6" ht="25.5" x14ac:dyDescent="0.2">
      <c r="A31" s="6">
        <f t="shared" si="1"/>
        <v>28</v>
      </c>
      <c r="B31" s="7">
        <v>42713</v>
      </c>
      <c r="C31" s="8" t="s">
        <v>38</v>
      </c>
      <c r="D31" s="4"/>
      <c r="E31" s="6" t="s">
        <v>16</v>
      </c>
      <c r="F31" s="8" t="s">
        <v>80</v>
      </c>
    </row>
    <row r="32" spans="1:6" ht="25.5" x14ac:dyDescent="0.2">
      <c r="A32" s="6">
        <f t="shared" si="1"/>
        <v>29</v>
      </c>
      <c r="B32" s="7">
        <v>42713</v>
      </c>
      <c r="C32" s="8" t="s">
        <v>39</v>
      </c>
      <c r="D32" s="4"/>
      <c r="E32" s="6" t="s">
        <v>23</v>
      </c>
      <c r="F32" s="8"/>
    </row>
    <row r="33" spans="1:6" ht="51" x14ac:dyDescent="0.2">
      <c r="A33" s="6">
        <f t="shared" si="1"/>
        <v>30</v>
      </c>
      <c r="B33" s="7">
        <v>42713</v>
      </c>
      <c r="C33" s="8" t="s">
        <v>40</v>
      </c>
      <c r="D33" s="4"/>
      <c r="E33" s="6" t="s">
        <v>23</v>
      </c>
      <c r="F33" s="8"/>
    </row>
    <row r="34" spans="1:6" ht="76.5" x14ac:dyDescent="0.2">
      <c r="A34" s="6">
        <f t="shared" si="1"/>
        <v>31</v>
      </c>
      <c r="B34" s="7">
        <v>42713</v>
      </c>
      <c r="C34" s="8" t="s">
        <v>41</v>
      </c>
      <c r="D34" s="4"/>
      <c r="E34" s="6" t="s">
        <v>16</v>
      </c>
      <c r="F34" s="8" t="s">
        <v>78</v>
      </c>
    </row>
    <row r="35" spans="1:6" ht="38.25" x14ac:dyDescent="0.2">
      <c r="A35" s="6">
        <f t="shared" si="1"/>
        <v>32</v>
      </c>
      <c r="B35" s="7">
        <v>42713</v>
      </c>
      <c r="C35" s="8" t="s">
        <v>42</v>
      </c>
      <c r="D35" s="4"/>
      <c r="E35" s="6" t="s">
        <v>23</v>
      </c>
      <c r="F35" s="8" t="s">
        <v>76</v>
      </c>
    </row>
    <row r="36" spans="1:6" ht="51" x14ac:dyDescent="0.2">
      <c r="A36" s="6">
        <f t="shared" si="1"/>
        <v>33</v>
      </c>
      <c r="B36" s="7">
        <v>42713</v>
      </c>
      <c r="C36" s="8" t="s">
        <v>43</v>
      </c>
      <c r="D36" s="4"/>
      <c r="E36" s="6" t="s">
        <v>23</v>
      </c>
      <c r="F36" s="8"/>
    </row>
    <row r="37" spans="1:6" ht="76.5" x14ac:dyDescent="0.2">
      <c r="A37" s="6">
        <f t="shared" si="1"/>
        <v>34</v>
      </c>
      <c r="B37" s="7">
        <v>42713</v>
      </c>
      <c r="C37" s="8" t="s">
        <v>44</v>
      </c>
      <c r="D37" s="4"/>
      <c r="E37" s="6" t="s">
        <v>23</v>
      </c>
      <c r="F37" s="8"/>
    </row>
    <row r="38" spans="1:6" ht="51" x14ac:dyDescent="0.2">
      <c r="A38" s="6">
        <f t="shared" si="1"/>
        <v>35</v>
      </c>
      <c r="B38" s="7">
        <v>42713</v>
      </c>
      <c r="C38" s="8" t="s">
        <v>45</v>
      </c>
      <c r="D38" s="4"/>
      <c r="E38" s="6" t="s">
        <v>23</v>
      </c>
      <c r="F38" s="8"/>
    </row>
    <row r="39" spans="1:6" ht="38.25" x14ac:dyDescent="0.2">
      <c r="A39" s="6">
        <f t="shared" si="1"/>
        <v>36</v>
      </c>
      <c r="B39" s="7">
        <v>42713</v>
      </c>
      <c r="C39" s="8" t="s">
        <v>46</v>
      </c>
      <c r="D39" s="4"/>
      <c r="E39" s="6" t="s">
        <v>16</v>
      </c>
      <c r="F39" s="8" t="s">
        <v>80</v>
      </c>
    </row>
    <row r="40" spans="1:6" ht="38.25" x14ac:dyDescent="0.2">
      <c r="A40" s="6">
        <f t="shared" si="1"/>
        <v>37</v>
      </c>
      <c r="B40" s="7">
        <v>42713</v>
      </c>
      <c r="C40" s="8" t="s">
        <v>47</v>
      </c>
      <c r="D40" s="4"/>
      <c r="E40" s="6" t="s">
        <v>23</v>
      </c>
      <c r="F40" s="8"/>
    </row>
    <row r="41" spans="1:6" ht="38.25" x14ac:dyDescent="0.2">
      <c r="A41" s="6">
        <f t="shared" si="1"/>
        <v>38</v>
      </c>
      <c r="B41" s="7">
        <v>42713</v>
      </c>
      <c r="C41" s="8" t="s">
        <v>48</v>
      </c>
      <c r="D41" s="4"/>
      <c r="E41" s="6" t="s">
        <v>23</v>
      </c>
      <c r="F41" s="8"/>
    </row>
    <row r="42" spans="1:6" ht="25.5" x14ac:dyDescent="0.2">
      <c r="A42" s="6">
        <f t="shared" si="1"/>
        <v>39</v>
      </c>
      <c r="B42" s="7">
        <v>42713</v>
      </c>
      <c r="C42" s="8" t="s">
        <v>49</v>
      </c>
      <c r="D42" s="4"/>
      <c r="E42" s="6" t="s">
        <v>23</v>
      </c>
      <c r="F42" s="8"/>
    </row>
    <row r="43" spans="1:6" ht="51" x14ac:dyDescent="0.2">
      <c r="A43" s="6">
        <f t="shared" si="1"/>
        <v>40</v>
      </c>
      <c r="B43" s="7">
        <v>42716</v>
      </c>
      <c r="C43" s="8" t="s">
        <v>50</v>
      </c>
      <c r="D43" s="4"/>
      <c r="E43" s="6" t="s">
        <v>23</v>
      </c>
      <c r="F43" s="8"/>
    </row>
    <row r="44" spans="1:6" ht="38.25" x14ac:dyDescent="0.2">
      <c r="A44" s="6">
        <f t="shared" si="1"/>
        <v>41</v>
      </c>
      <c r="B44" s="7">
        <v>42716</v>
      </c>
      <c r="C44" s="8" t="s">
        <v>51</v>
      </c>
      <c r="D44" s="4"/>
      <c r="E44" s="6" t="s">
        <v>23</v>
      </c>
      <c r="F44" s="8"/>
    </row>
    <row r="45" spans="1:6" ht="76.5" x14ac:dyDescent="0.2">
      <c r="A45" s="6">
        <f t="shared" si="1"/>
        <v>42</v>
      </c>
      <c r="B45" s="7">
        <v>42716</v>
      </c>
      <c r="C45" s="8" t="s">
        <v>52</v>
      </c>
      <c r="D45" s="4"/>
      <c r="E45" s="6" t="s">
        <v>23</v>
      </c>
      <c r="F45" s="8"/>
    </row>
    <row r="46" spans="1:6" ht="38.25" x14ac:dyDescent="0.2">
      <c r="A46" s="6">
        <f t="shared" si="1"/>
        <v>43</v>
      </c>
      <c r="B46" s="7">
        <v>42716</v>
      </c>
      <c r="C46" s="8" t="s">
        <v>53</v>
      </c>
      <c r="D46" s="4"/>
      <c r="E46" s="6" t="s">
        <v>23</v>
      </c>
      <c r="F46" s="8"/>
    </row>
    <row r="47" spans="1:6" ht="38.25" x14ac:dyDescent="0.2">
      <c r="A47" s="6">
        <f t="shared" si="1"/>
        <v>44</v>
      </c>
      <c r="B47" s="7">
        <v>42716</v>
      </c>
      <c r="C47" s="8" t="s">
        <v>54</v>
      </c>
      <c r="D47" s="4"/>
      <c r="E47" s="6" t="s">
        <v>23</v>
      </c>
      <c r="F47" s="8"/>
    </row>
    <row r="48" spans="1:6" ht="51" x14ac:dyDescent="0.2">
      <c r="A48" s="6">
        <f t="shared" si="1"/>
        <v>45</v>
      </c>
      <c r="B48" s="7">
        <v>42716</v>
      </c>
      <c r="C48" s="8" t="s">
        <v>55</v>
      </c>
      <c r="D48" s="4"/>
      <c r="E48" s="6" t="s">
        <v>23</v>
      </c>
      <c r="F48" s="8"/>
    </row>
    <row r="49" spans="1:6" ht="114.75" x14ac:dyDescent="0.2">
      <c r="A49" s="6">
        <f t="shared" si="1"/>
        <v>46</v>
      </c>
      <c r="B49" s="7">
        <v>42716</v>
      </c>
      <c r="C49" s="8" t="s">
        <v>56</v>
      </c>
      <c r="D49" s="4"/>
      <c r="E49" s="6" t="s">
        <v>23</v>
      </c>
      <c r="F49" s="8"/>
    </row>
    <row r="50" spans="1:6" ht="76.5" x14ac:dyDescent="0.2">
      <c r="A50" s="6">
        <f t="shared" si="1"/>
        <v>47</v>
      </c>
      <c r="B50" s="7">
        <v>42716</v>
      </c>
      <c r="C50" s="8" t="s">
        <v>57</v>
      </c>
      <c r="D50" s="4"/>
      <c r="E50" s="6" t="s">
        <v>23</v>
      </c>
      <c r="F50" s="8"/>
    </row>
    <row r="51" spans="1:6" ht="38.25" x14ac:dyDescent="0.2">
      <c r="A51" s="6">
        <f t="shared" si="1"/>
        <v>48</v>
      </c>
      <c r="B51" s="7">
        <v>42716</v>
      </c>
      <c r="C51" s="8" t="s">
        <v>58</v>
      </c>
      <c r="D51" s="4"/>
      <c r="E51" s="6" t="s">
        <v>23</v>
      </c>
      <c r="F51" s="8"/>
    </row>
    <row r="52" spans="1:6" ht="76.5" x14ac:dyDescent="0.2">
      <c r="A52" s="6">
        <f t="shared" si="1"/>
        <v>49</v>
      </c>
      <c r="B52" s="7">
        <v>42716</v>
      </c>
      <c r="C52" s="8" t="s">
        <v>59</v>
      </c>
      <c r="D52" s="4"/>
      <c r="E52" s="6" t="s">
        <v>23</v>
      </c>
      <c r="F52" s="8"/>
    </row>
    <row r="53" spans="1:6" ht="89.25" x14ac:dyDescent="0.2">
      <c r="A53" s="6">
        <f t="shared" si="1"/>
        <v>50</v>
      </c>
      <c r="B53" s="7">
        <v>42716</v>
      </c>
      <c r="C53" s="8" t="s">
        <v>60</v>
      </c>
      <c r="D53" s="4"/>
      <c r="E53" s="6" t="s">
        <v>23</v>
      </c>
      <c r="F53" s="8"/>
    </row>
    <row r="54" spans="1:6" ht="89.25" x14ac:dyDescent="0.2">
      <c r="A54" s="6">
        <f t="shared" si="1"/>
        <v>51</v>
      </c>
      <c r="B54" s="7">
        <v>42716</v>
      </c>
      <c r="C54" s="8" t="s">
        <v>61</v>
      </c>
      <c r="D54" s="4"/>
      <c r="E54" s="6" t="s">
        <v>23</v>
      </c>
      <c r="F54" s="8" t="s">
        <v>70</v>
      </c>
    </row>
    <row r="55" spans="1:6" ht="63.75" x14ac:dyDescent="0.2">
      <c r="A55" s="6">
        <f t="shared" si="1"/>
        <v>52</v>
      </c>
      <c r="B55" s="7">
        <v>42716</v>
      </c>
      <c r="C55" s="8" t="s">
        <v>62</v>
      </c>
      <c r="D55" s="4"/>
      <c r="E55" s="6" t="s">
        <v>23</v>
      </c>
      <c r="F55" s="8" t="s">
        <v>71</v>
      </c>
    </row>
    <row r="56" spans="1:6" ht="25.5" x14ac:dyDescent="0.2">
      <c r="A56" s="6">
        <f t="shared" si="1"/>
        <v>53</v>
      </c>
      <c r="B56" s="7">
        <v>42716</v>
      </c>
      <c r="C56" s="8" t="s">
        <v>63</v>
      </c>
      <c r="D56" s="4"/>
      <c r="E56" s="6" t="s">
        <v>23</v>
      </c>
      <c r="F56" s="8"/>
    </row>
    <row r="57" spans="1:6" ht="76.5" x14ac:dyDescent="0.2">
      <c r="A57" s="6">
        <f t="shared" si="1"/>
        <v>54</v>
      </c>
      <c r="B57" s="7">
        <v>42716</v>
      </c>
      <c r="C57" s="8" t="s">
        <v>64</v>
      </c>
      <c r="D57" s="4"/>
      <c r="E57" s="6" t="s">
        <v>23</v>
      </c>
      <c r="F57" s="8"/>
    </row>
    <row r="58" spans="1:6" ht="76.5" x14ac:dyDescent="0.2">
      <c r="A58" s="6">
        <f t="shared" si="1"/>
        <v>55</v>
      </c>
      <c r="B58" s="7">
        <v>42716</v>
      </c>
      <c r="C58" s="8" t="s">
        <v>65</v>
      </c>
      <c r="D58" s="4"/>
      <c r="E58" s="6" t="s">
        <v>23</v>
      </c>
      <c r="F58" s="8" t="s">
        <v>70</v>
      </c>
    </row>
    <row r="59" spans="1:6" ht="76.5" x14ac:dyDescent="0.2">
      <c r="A59" s="6">
        <f t="shared" si="1"/>
        <v>56</v>
      </c>
      <c r="B59" s="7">
        <v>42716</v>
      </c>
      <c r="C59" s="8" t="s">
        <v>66</v>
      </c>
      <c r="D59" s="4"/>
      <c r="E59" s="6" t="s">
        <v>23</v>
      </c>
      <c r="F59" s="8"/>
    </row>
    <row r="60" spans="1:6" ht="76.5" x14ac:dyDescent="0.2">
      <c r="A60" s="6">
        <f t="shared" si="1"/>
        <v>57</v>
      </c>
      <c r="B60" s="7">
        <v>42717</v>
      </c>
      <c r="C60" s="8" t="s">
        <v>67</v>
      </c>
      <c r="D60" s="4"/>
      <c r="E60" s="6" t="s">
        <v>23</v>
      </c>
      <c r="F60" s="8" t="s">
        <v>72</v>
      </c>
    </row>
    <row r="61" spans="1:6" ht="76.5" x14ac:dyDescent="0.2">
      <c r="A61" s="6">
        <f t="shared" si="1"/>
        <v>58</v>
      </c>
      <c r="B61" s="7">
        <v>42717</v>
      </c>
      <c r="C61" s="8" t="s">
        <v>68</v>
      </c>
      <c r="D61" s="4"/>
      <c r="E61" s="6" t="s">
        <v>23</v>
      </c>
      <c r="F61" s="8"/>
    </row>
    <row r="62" spans="1:6" ht="51" x14ac:dyDescent="0.2">
      <c r="A62" s="6">
        <f t="shared" si="1"/>
        <v>59</v>
      </c>
      <c r="B62" s="7">
        <v>42717</v>
      </c>
      <c r="C62" s="8" t="s">
        <v>83</v>
      </c>
      <c r="D62" s="4"/>
      <c r="E62" s="6" t="s">
        <v>23</v>
      </c>
      <c r="F62" s="8" t="s">
        <v>73</v>
      </c>
    </row>
    <row r="63" spans="1:6" ht="153" x14ac:dyDescent="0.2">
      <c r="A63" s="6">
        <f t="shared" si="1"/>
        <v>60</v>
      </c>
      <c r="B63" s="7">
        <v>42717</v>
      </c>
      <c r="C63" s="8" t="s">
        <v>87</v>
      </c>
      <c r="D63" s="4"/>
      <c r="E63" s="6" t="s">
        <v>23</v>
      </c>
      <c r="F63" s="8" t="s">
        <v>86</v>
      </c>
    </row>
    <row r="64" spans="1:6" ht="38.25" x14ac:dyDescent="0.2">
      <c r="A64" s="6">
        <f t="shared" si="1"/>
        <v>61</v>
      </c>
      <c r="B64" s="7">
        <v>42717</v>
      </c>
      <c r="C64" s="8" t="s">
        <v>84</v>
      </c>
      <c r="D64" s="4"/>
      <c r="E64" s="6" t="s">
        <v>23</v>
      </c>
      <c r="F64" s="8"/>
    </row>
    <row r="65" spans="1:6" ht="38.25" x14ac:dyDescent="0.2">
      <c r="A65" s="6">
        <f t="shared" si="1"/>
        <v>62</v>
      </c>
      <c r="B65" s="7">
        <v>42717</v>
      </c>
      <c r="C65" s="8" t="s">
        <v>85</v>
      </c>
      <c r="D65" s="4"/>
      <c r="E65" s="6" t="s">
        <v>23</v>
      </c>
      <c r="F65" s="8"/>
    </row>
    <row r="66" spans="1:6" ht="267.75" x14ac:dyDescent="0.2">
      <c r="A66" s="6">
        <f t="shared" si="1"/>
        <v>63</v>
      </c>
      <c r="B66" s="7">
        <v>42718</v>
      </c>
      <c r="C66" s="8" t="s">
        <v>351</v>
      </c>
      <c r="D66" s="4"/>
      <c r="E66" s="6"/>
      <c r="F66" s="8" t="s">
        <v>323</v>
      </c>
    </row>
    <row r="67" spans="1:6" x14ac:dyDescent="0.2">
      <c r="A67" s="6">
        <f t="shared" si="1"/>
        <v>64</v>
      </c>
      <c r="B67" s="7">
        <v>42718</v>
      </c>
      <c r="C67" s="8"/>
      <c r="D67" s="4"/>
      <c r="E67" s="6"/>
      <c r="F67" s="8"/>
    </row>
    <row r="68" spans="1:6" x14ac:dyDescent="0.2">
      <c r="A68" s="6">
        <f t="shared" si="1"/>
        <v>65</v>
      </c>
      <c r="B68" s="7">
        <v>42718</v>
      </c>
      <c r="C68" s="8"/>
      <c r="D68" s="4"/>
      <c r="E68" s="6"/>
      <c r="F68" s="8"/>
    </row>
    <row r="69" spans="1:6" x14ac:dyDescent="0.2">
      <c r="A69" s="6">
        <f t="shared" si="1"/>
        <v>66</v>
      </c>
      <c r="B69" s="7">
        <v>42718</v>
      </c>
      <c r="C69" s="8"/>
      <c r="D69" s="4"/>
      <c r="E69" s="6"/>
      <c r="F69" s="8"/>
    </row>
    <row r="70" spans="1:6" x14ac:dyDescent="0.2">
      <c r="A70" s="6">
        <f t="shared" si="1"/>
        <v>67</v>
      </c>
      <c r="B70" s="7">
        <v>42718</v>
      </c>
      <c r="C70" s="8"/>
      <c r="D70" s="4"/>
      <c r="E70" s="6"/>
      <c r="F70" s="8"/>
    </row>
    <row r="71" spans="1:6" x14ac:dyDescent="0.2">
      <c r="A71" s="6">
        <f t="shared" si="1"/>
        <v>68</v>
      </c>
      <c r="B71" s="7">
        <v>42718</v>
      </c>
      <c r="C71" s="8"/>
      <c r="D71" s="4"/>
      <c r="E71" s="6"/>
      <c r="F71" s="8"/>
    </row>
    <row r="72" spans="1:6" x14ac:dyDescent="0.2">
      <c r="A72" s="6">
        <f t="shared" si="1"/>
        <v>69</v>
      </c>
      <c r="B72" s="7">
        <v>42718</v>
      </c>
      <c r="C72" s="8"/>
      <c r="D72" s="4"/>
      <c r="E72" s="6"/>
      <c r="F72" s="8"/>
    </row>
    <row r="73" spans="1:6" x14ac:dyDescent="0.2">
      <c r="A73" s="6">
        <f t="shared" si="1"/>
        <v>70</v>
      </c>
      <c r="B73" s="7">
        <v>42718</v>
      </c>
      <c r="C73" s="8"/>
      <c r="D73" s="4"/>
      <c r="E73" s="6"/>
      <c r="F73" s="8"/>
    </row>
    <row r="74" spans="1:6" x14ac:dyDescent="0.2">
      <c r="A74" s="6">
        <f t="shared" si="1"/>
        <v>71</v>
      </c>
      <c r="B74" s="7"/>
      <c r="C74" s="8"/>
      <c r="D74" s="4"/>
      <c r="E74" s="6"/>
      <c r="F74" s="8"/>
    </row>
    <row r="75" spans="1:6" x14ac:dyDescent="0.2">
      <c r="A75" s="6">
        <f t="shared" si="1"/>
        <v>72</v>
      </c>
      <c r="B75" s="7"/>
      <c r="C75" s="8"/>
      <c r="D75" s="4"/>
      <c r="E75" s="6"/>
      <c r="F75" s="8"/>
    </row>
    <row r="76" spans="1:6" x14ac:dyDescent="0.2">
      <c r="A76" s="6">
        <f t="shared" si="1"/>
        <v>73</v>
      </c>
      <c r="B76" s="7"/>
      <c r="C76" s="8"/>
      <c r="D76" s="4"/>
      <c r="E76" s="6"/>
      <c r="F76" s="8"/>
    </row>
    <row r="77" spans="1:6" x14ac:dyDescent="0.2">
      <c r="A77" s="6">
        <f t="shared" si="1"/>
        <v>74</v>
      </c>
      <c r="B77" s="7"/>
      <c r="C77" s="8"/>
      <c r="D77" s="4"/>
      <c r="E77" s="6"/>
      <c r="F77" s="8"/>
    </row>
    <row r="78" spans="1:6" x14ac:dyDescent="0.2">
      <c r="A78" s="6">
        <f t="shared" si="1"/>
        <v>75</v>
      </c>
      <c r="B78" s="7"/>
      <c r="C78" s="8"/>
      <c r="D78" s="4"/>
      <c r="E78" s="6"/>
      <c r="F78" s="8"/>
    </row>
    <row r="79" spans="1:6" x14ac:dyDescent="0.2">
      <c r="A79" s="6">
        <f t="shared" si="1"/>
        <v>76</v>
      </c>
      <c r="B79" s="7"/>
      <c r="C79" s="8"/>
      <c r="D79" s="4"/>
      <c r="E79" s="6"/>
      <c r="F79" s="8"/>
    </row>
    <row r="80" spans="1:6" x14ac:dyDescent="0.2">
      <c r="A80" s="6">
        <f t="shared" si="1"/>
        <v>77</v>
      </c>
      <c r="B80" s="7"/>
      <c r="C80" s="8"/>
      <c r="D80" s="4"/>
      <c r="E80" s="6"/>
      <c r="F80" s="8"/>
    </row>
    <row r="81" spans="1:6" x14ac:dyDescent="0.2">
      <c r="A81" s="6">
        <f t="shared" si="1"/>
        <v>78</v>
      </c>
      <c r="B81" s="7"/>
      <c r="C81" s="8"/>
      <c r="D81" s="4"/>
      <c r="E81" s="6"/>
      <c r="F81" s="8"/>
    </row>
    <row r="82" spans="1:6" x14ac:dyDescent="0.2">
      <c r="A82" s="6">
        <f t="shared" si="1"/>
        <v>79</v>
      </c>
      <c r="B82" s="7"/>
      <c r="C82" s="8"/>
      <c r="D82" s="4"/>
      <c r="E82" s="6"/>
      <c r="F82" s="8"/>
    </row>
    <row r="83" spans="1:6" x14ac:dyDescent="0.2">
      <c r="A83" s="6">
        <f t="shared" si="1"/>
        <v>80</v>
      </c>
      <c r="B83" s="7"/>
      <c r="C83" s="8"/>
      <c r="D83" s="4"/>
      <c r="E83" s="6"/>
      <c r="F83" s="8"/>
    </row>
    <row r="84" spans="1:6" x14ac:dyDescent="0.2">
      <c r="A84" s="6">
        <f t="shared" si="1"/>
        <v>81</v>
      </c>
      <c r="B84" s="7"/>
      <c r="C84" s="8"/>
      <c r="D84" s="4"/>
      <c r="E84" s="6"/>
      <c r="F84" s="8"/>
    </row>
    <row r="85" spans="1:6" x14ac:dyDescent="0.2">
      <c r="A85" s="6">
        <f t="shared" si="1"/>
        <v>82</v>
      </c>
      <c r="B85" s="7"/>
      <c r="C85" s="8"/>
      <c r="D85" s="4"/>
      <c r="E85" s="6"/>
      <c r="F85" s="8"/>
    </row>
    <row r="86" spans="1:6" x14ac:dyDescent="0.2">
      <c r="A86" s="6">
        <f t="shared" si="1"/>
        <v>83</v>
      </c>
      <c r="B86" s="7"/>
      <c r="C86" s="8"/>
      <c r="D86" s="4"/>
      <c r="E86" s="6"/>
      <c r="F86" s="8"/>
    </row>
    <row r="87" spans="1:6" x14ac:dyDescent="0.2">
      <c r="A87" s="6">
        <f t="shared" si="1"/>
        <v>84</v>
      </c>
      <c r="B87" s="7"/>
      <c r="C87" s="8"/>
      <c r="D87" s="4"/>
      <c r="E87" s="6"/>
      <c r="F87" s="8"/>
    </row>
    <row r="88" spans="1:6" x14ac:dyDescent="0.2">
      <c r="A88" s="6">
        <f t="shared" si="1"/>
        <v>85</v>
      </c>
      <c r="B88" s="7"/>
      <c r="C88" s="8"/>
      <c r="D88" s="4"/>
      <c r="E88" s="6"/>
      <c r="F88" s="8"/>
    </row>
    <row r="89" spans="1:6" x14ac:dyDescent="0.2">
      <c r="A89" s="6">
        <f t="shared" si="1"/>
        <v>86</v>
      </c>
      <c r="B89" s="7"/>
      <c r="C89" s="8"/>
      <c r="D89" s="4"/>
      <c r="E89" s="6"/>
      <c r="F89" s="8"/>
    </row>
    <row r="90" spans="1:6" x14ac:dyDescent="0.2">
      <c r="A90" s="6">
        <f t="shared" si="1"/>
        <v>87</v>
      </c>
      <c r="B90" s="7"/>
      <c r="C90" s="8"/>
      <c r="D90" s="4"/>
      <c r="E90" s="6"/>
      <c r="F90" s="8"/>
    </row>
    <row r="91" spans="1:6" x14ac:dyDescent="0.2">
      <c r="A91" s="6">
        <f t="shared" si="1"/>
        <v>88</v>
      </c>
      <c r="B91" s="7"/>
      <c r="C91" s="8"/>
      <c r="D91" s="4"/>
      <c r="E91" s="6"/>
      <c r="F91" s="8"/>
    </row>
    <row r="92" spans="1:6" x14ac:dyDescent="0.2">
      <c r="A92" s="6">
        <f t="shared" si="1"/>
        <v>89</v>
      </c>
      <c r="B92" s="7"/>
      <c r="C92" s="8"/>
      <c r="D92" s="4"/>
      <c r="E92" s="6"/>
      <c r="F92" s="8"/>
    </row>
    <row r="93" spans="1:6" x14ac:dyDescent="0.2">
      <c r="A93" s="6">
        <f t="shared" ref="A93" si="2">A92+1</f>
        <v>90</v>
      </c>
      <c r="B93" s="7"/>
      <c r="C93" s="8"/>
      <c r="D93" s="4"/>
      <c r="E93" s="6"/>
      <c r="F93" s="8"/>
    </row>
  </sheetData>
  <dataValidations count="1">
    <dataValidation type="list" allowBlank="1" showInputMessage="1" showErrorMessage="1" sqref="E4:E93">
      <formula1>"OPEN,FIXED,CLOSED"</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K27"/>
  <sheetViews>
    <sheetView topLeftCell="AN1" workbookViewId="0">
      <pane ySplit="1" topLeftCell="A2" activePane="bottomLeft" state="frozen"/>
      <selection activeCell="U1" sqref="U1"/>
      <selection pane="bottomLeft" activeCell="AV21" sqref="AV21"/>
    </sheetView>
  </sheetViews>
  <sheetFormatPr defaultRowHeight="11.25" x14ac:dyDescent="0.2"/>
  <cols>
    <col min="1" max="1" width="24.7109375" style="12" bestFit="1" customWidth="1"/>
    <col min="2" max="2" width="12.5703125" style="12" bestFit="1" customWidth="1"/>
    <col min="3" max="3" width="15.85546875" style="12" bestFit="1" customWidth="1"/>
    <col min="4" max="4" width="10.140625" style="12" bestFit="1" customWidth="1"/>
    <col min="5" max="5" width="16.85546875" style="12" bestFit="1" customWidth="1"/>
    <col min="6" max="6" width="13.85546875" style="12" bestFit="1" customWidth="1"/>
    <col min="7" max="7" width="8.85546875" style="12" bestFit="1" customWidth="1"/>
    <col min="8" max="8" width="15.42578125" style="12" bestFit="1" customWidth="1"/>
    <col min="9" max="9" width="14.85546875" style="12" bestFit="1" customWidth="1"/>
    <col min="10" max="10" width="16.85546875" style="12" bestFit="1" customWidth="1"/>
    <col min="11" max="11" width="22.7109375" style="12" bestFit="1" customWidth="1"/>
    <col min="12" max="12" width="23.140625" style="12" bestFit="1" customWidth="1"/>
    <col min="13" max="13" width="23" style="12" bestFit="1" customWidth="1"/>
    <col min="14" max="14" width="10.5703125" style="12" bestFit="1" customWidth="1"/>
    <col min="15" max="15" width="25.85546875" style="12" bestFit="1" customWidth="1"/>
    <col min="16" max="16" width="33.42578125" style="12" bestFit="1" customWidth="1"/>
    <col min="17" max="17" width="24.7109375" style="12" bestFit="1" customWidth="1"/>
    <col min="18" max="18" width="20" style="12" bestFit="1" customWidth="1"/>
    <col min="19" max="19" width="28.5703125" style="12" bestFit="1" customWidth="1"/>
    <col min="20" max="20" width="24.5703125" style="12" bestFit="1" customWidth="1"/>
    <col min="21" max="21" width="25.7109375" style="12" bestFit="1" customWidth="1"/>
    <col min="22" max="22" width="15.7109375" style="12" bestFit="1" customWidth="1"/>
    <col min="23" max="23" width="8" style="12" bestFit="1" customWidth="1"/>
    <col min="24" max="24" width="8.140625" style="12" bestFit="1" customWidth="1"/>
    <col min="25" max="25" width="24.7109375" style="12" bestFit="1" customWidth="1"/>
    <col min="26" max="26" width="19.140625" style="12" bestFit="1" customWidth="1"/>
    <col min="27" max="27" width="24.7109375" style="12" bestFit="1" customWidth="1"/>
    <col min="28" max="28" width="10.7109375" style="12" bestFit="1" customWidth="1"/>
    <col min="29" max="29" width="13.140625" style="12" bestFit="1" customWidth="1"/>
    <col min="30" max="30" width="34.7109375" style="12" bestFit="1" customWidth="1"/>
    <col min="31" max="31" width="9.5703125" style="12" bestFit="1" customWidth="1"/>
    <col min="32" max="32" width="12.7109375" style="12" bestFit="1" customWidth="1"/>
    <col min="33" max="33" width="12.28515625" style="12" bestFit="1" customWidth="1"/>
    <col min="34" max="34" width="15.140625" style="12" bestFit="1" customWidth="1"/>
    <col min="35" max="35" width="13.140625" style="12" bestFit="1" customWidth="1"/>
    <col min="36" max="36" width="12.28515625" style="12" bestFit="1" customWidth="1"/>
    <col min="37" max="37" width="19.5703125" style="12" bestFit="1" customWidth="1"/>
    <col min="38" max="38" width="10.85546875" style="12" bestFit="1" customWidth="1"/>
    <col min="39" max="39" width="16.85546875" style="12" bestFit="1" customWidth="1"/>
    <col min="40" max="40" width="24.7109375" style="12" bestFit="1" customWidth="1"/>
    <col min="41" max="41" width="9" style="12" bestFit="1" customWidth="1"/>
    <col min="42" max="42" width="23.140625" style="12" bestFit="1" customWidth="1"/>
    <col min="43" max="43" width="14.7109375" style="12" bestFit="1" customWidth="1"/>
    <col min="44" max="44" width="25.28515625" style="12" bestFit="1" customWidth="1"/>
    <col min="45" max="45" width="19.5703125" style="12" bestFit="1" customWidth="1"/>
    <col min="46" max="46" width="15.5703125" style="12" bestFit="1" customWidth="1"/>
    <col min="47" max="47" width="16.28515625" style="12" bestFit="1" customWidth="1"/>
    <col min="48" max="48" width="17.42578125" style="12" bestFit="1" customWidth="1"/>
    <col min="49" max="49" width="22.140625" style="12" bestFit="1" customWidth="1"/>
    <col min="50" max="50" width="7" style="12" bestFit="1" customWidth="1"/>
    <col min="51" max="51" width="12.5703125" style="12" bestFit="1" customWidth="1"/>
    <col min="52" max="52" width="21.140625" style="12" bestFit="1" customWidth="1"/>
    <col min="53" max="53" width="12.28515625" style="12" bestFit="1" customWidth="1"/>
    <col min="54" max="54" width="10.85546875" style="12" bestFit="1" customWidth="1"/>
    <col min="55" max="55" width="14.85546875" style="12" bestFit="1" customWidth="1"/>
    <col min="56" max="56" width="28.85546875" style="12" bestFit="1" customWidth="1"/>
    <col min="57" max="57" width="20.7109375" style="12" bestFit="1" customWidth="1"/>
    <col min="58" max="58" width="12.5703125" style="12" bestFit="1" customWidth="1"/>
    <col min="59" max="59" width="25.5703125" style="12" bestFit="1" customWidth="1"/>
    <col min="60" max="60" width="12.28515625" style="12" bestFit="1" customWidth="1"/>
    <col min="61" max="61" width="19.42578125" style="12" bestFit="1" customWidth="1"/>
    <col min="62" max="62" width="10.7109375" style="12" bestFit="1" customWidth="1"/>
    <col min="63" max="63" width="18.28515625" style="12" bestFit="1" customWidth="1"/>
    <col min="64" max="64" width="13.7109375" style="12" bestFit="1" customWidth="1"/>
    <col min="65" max="65" width="18.85546875" style="12" bestFit="1" customWidth="1"/>
    <col min="66" max="66" width="9.5703125" style="12" bestFit="1" customWidth="1"/>
    <col min="67" max="67" width="22.7109375" style="12" bestFit="1" customWidth="1"/>
    <col min="68" max="68" width="15.7109375" style="12" bestFit="1" customWidth="1"/>
    <col min="69" max="69" width="11.85546875" style="12" bestFit="1" customWidth="1"/>
    <col min="70" max="70" width="6.5703125" style="12" bestFit="1" customWidth="1"/>
    <col min="71" max="71" width="13.28515625" style="12" bestFit="1" customWidth="1"/>
    <col min="72" max="72" width="11.140625" style="12" bestFit="1" customWidth="1"/>
    <col min="73" max="73" width="15" style="12" bestFit="1" customWidth="1"/>
    <col min="74" max="74" width="17.42578125" style="12" bestFit="1" customWidth="1"/>
    <col min="75" max="75" width="10" style="12" bestFit="1" customWidth="1"/>
    <col min="76" max="76" width="11.5703125" style="12" bestFit="1" customWidth="1"/>
    <col min="77" max="77" width="10.85546875" style="12" bestFit="1" customWidth="1"/>
    <col min="78" max="78" width="13.140625" style="12" bestFit="1" customWidth="1"/>
    <col min="79" max="79" width="9.140625" style="12" bestFit="1" customWidth="1"/>
    <col min="80" max="80" width="8.28515625" style="12" bestFit="1" customWidth="1"/>
    <col min="81" max="81" width="12" style="12" bestFit="1" customWidth="1"/>
    <col min="82" max="82" width="15.5703125" style="12" bestFit="1" customWidth="1"/>
    <col min="83" max="83" width="8.5703125" style="12" bestFit="1" customWidth="1"/>
    <col min="84" max="84" width="18.7109375" style="12" bestFit="1" customWidth="1"/>
    <col min="85" max="85" width="20.85546875" style="12" bestFit="1" customWidth="1"/>
    <col min="86" max="86" width="12.28515625" style="12" bestFit="1" customWidth="1"/>
    <col min="87" max="87" width="43" style="12" bestFit="1" customWidth="1"/>
    <col min="88" max="88" width="34.28515625" style="12" bestFit="1" customWidth="1"/>
    <col min="89" max="89" width="30" style="12" bestFit="1" customWidth="1"/>
    <col min="90" max="90" width="29.42578125" style="12" bestFit="1" customWidth="1"/>
    <col min="91" max="91" width="15.42578125" style="12" bestFit="1" customWidth="1"/>
    <col min="92" max="92" width="11" style="12" bestFit="1" customWidth="1"/>
    <col min="93" max="93" width="10.5703125" style="12" bestFit="1" customWidth="1"/>
    <col min="94" max="94" width="11.5703125" style="12" bestFit="1" customWidth="1"/>
    <col min="95" max="95" width="15.5703125" style="12" bestFit="1" customWidth="1"/>
    <col min="96" max="96" width="34" style="12" bestFit="1" customWidth="1"/>
    <col min="97" max="97" width="15.140625" style="12" bestFit="1" customWidth="1"/>
    <col min="98" max="98" width="15.28515625" style="12" bestFit="1" customWidth="1"/>
    <col min="99" max="99" width="14.85546875" style="12" bestFit="1" customWidth="1"/>
    <col min="100" max="100" width="15.28515625" style="12" bestFit="1" customWidth="1"/>
    <col min="101" max="101" width="15.42578125" style="12" bestFit="1" customWidth="1"/>
    <col min="102" max="102" width="15" style="12" bestFit="1" customWidth="1"/>
    <col min="103" max="103" width="223.5703125" style="12" bestFit="1" customWidth="1"/>
    <col min="104" max="104" width="221.85546875" style="12" bestFit="1" customWidth="1"/>
    <col min="105" max="105" width="15.5703125" style="12" bestFit="1" customWidth="1"/>
    <col min="106" max="106" width="12" style="12" bestFit="1" customWidth="1"/>
    <col min="107" max="107" width="21.140625" style="12" bestFit="1" customWidth="1"/>
    <col min="108" max="108" width="12.28515625" style="12" bestFit="1" customWidth="1"/>
    <col min="109" max="109" width="12.42578125" style="12" bestFit="1" customWidth="1"/>
    <col min="110" max="110" width="11" style="12" bestFit="1" customWidth="1"/>
    <col min="111" max="111" width="14.5703125" style="12" bestFit="1" customWidth="1"/>
    <col min="112" max="112" width="14.7109375" style="12" bestFit="1" customWidth="1"/>
    <col min="113" max="113" width="16" style="12" bestFit="1" customWidth="1"/>
    <col min="114" max="114" width="19.140625" style="12" bestFit="1" customWidth="1"/>
    <col min="115" max="115" width="13.42578125" style="12" bestFit="1" customWidth="1"/>
    <col min="116" max="116" width="13.28515625" style="12" bestFit="1" customWidth="1"/>
    <col min="117" max="117" width="14" style="12" bestFit="1" customWidth="1"/>
    <col min="118" max="118" width="6.85546875" style="12" bestFit="1" customWidth="1"/>
    <col min="119" max="119" width="11.85546875" style="12" bestFit="1" customWidth="1"/>
    <col min="120" max="120" width="15.5703125" style="12" bestFit="1" customWidth="1"/>
    <col min="121" max="121" width="9.28515625" style="12" bestFit="1" customWidth="1"/>
    <col min="122" max="122" width="10" style="12" bestFit="1" customWidth="1"/>
    <col min="123" max="123" width="11.5703125" style="12" bestFit="1" customWidth="1"/>
    <col min="124" max="124" width="19" style="12" bestFit="1" customWidth="1"/>
    <col min="125" max="125" width="11.28515625" style="12" bestFit="1" customWidth="1"/>
    <col min="126" max="126" width="20.7109375" style="12" bestFit="1" customWidth="1"/>
    <col min="127" max="127" width="25.28515625" style="12" bestFit="1" customWidth="1"/>
    <col min="128" max="128" width="13.7109375" style="12" bestFit="1" customWidth="1"/>
    <col min="129" max="129" width="17.42578125" style="12" bestFit="1" customWidth="1"/>
    <col min="130" max="130" width="21.85546875" style="12" bestFit="1" customWidth="1"/>
    <col min="131" max="131" width="21.7109375" style="12" bestFit="1" customWidth="1"/>
    <col min="132" max="132" width="18.28515625" style="12" bestFit="1" customWidth="1"/>
    <col min="133" max="133" width="13.28515625" style="12" bestFit="1" customWidth="1"/>
    <col min="134" max="134" width="7" style="12" bestFit="1" customWidth="1"/>
    <col min="135" max="135" width="14.85546875" style="12" bestFit="1" customWidth="1"/>
    <col min="136" max="136" width="12.5703125" style="12" bestFit="1" customWidth="1"/>
    <col min="137" max="137" width="16.85546875" style="12" bestFit="1" customWidth="1"/>
    <col min="138" max="138" width="6.5703125" style="12" bestFit="1" customWidth="1"/>
    <col min="139" max="139" width="13.85546875" style="12" bestFit="1" customWidth="1"/>
    <col min="140" max="140" width="15.42578125" style="12" bestFit="1" customWidth="1"/>
    <col min="141" max="141" width="14.85546875" style="12" bestFit="1" customWidth="1"/>
    <col min="142" max="142" width="16.85546875" style="12" bestFit="1" customWidth="1"/>
    <col min="143" max="143" width="7.85546875" style="12" bestFit="1" customWidth="1"/>
    <col min="144" max="144" width="14.28515625" style="12" bestFit="1" customWidth="1"/>
    <col min="145" max="145" width="10.5703125" style="12" bestFit="1" customWidth="1"/>
    <col min="146" max="146" width="10.140625" style="12" bestFit="1" customWidth="1"/>
    <col min="147" max="147" width="24.7109375" style="12" bestFit="1" customWidth="1"/>
    <col min="148" max="148" width="15.42578125" style="12" bestFit="1" customWidth="1"/>
    <col min="149" max="150" width="20.85546875" style="12" bestFit="1" customWidth="1"/>
    <col min="151" max="151" width="24.7109375" style="12" bestFit="1" customWidth="1"/>
    <col min="152" max="152" width="14.7109375" style="12" bestFit="1" customWidth="1"/>
    <col min="153" max="153" width="13.85546875" style="12" bestFit="1" customWidth="1"/>
    <col min="154" max="154" width="12.7109375" style="12" bestFit="1" customWidth="1"/>
    <col min="155" max="155" width="11.140625" style="12" bestFit="1" customWidth="1"/>
    <col min="156" max="156" width="13.140625" style="12" bestFit="1" customWidth="1"/>
    <col min="157" max="157" width="19.5703125" style="12" bestFit="1" customWidth="1"/>
    <col min="158" max="158" width="24.7109375" style="12" bestFit="1" customWidth="1"/>
    <col min="159" max="159" width="24.140625" style="12" bestFit="1" customWidth="1"/>
    <col min="160" max="160" width="17.42578125" style="12" bestFit="1" customWidth="1"/>
    <col min="161" max="161" width="15.7109375" style="12" bestFit="1" customWidth="1"/>
    <col min="162" max="162" width="21" style="12" bestFit="1" customWidth="1"/>
    <col min="163" max="163" width="11.85546875" style="12" bestFit="1" customWidth="1"/>
    <col min="164" max="164" width="10.85546875" style="12" bestFit="1" customWidth="1"/>
    <col min="165" max="165" width="8.85546875" style="12" bestFit="1" customWidth="1"/>
    <col min="166" max="166" width="4.140625" style="12" bestFit="1" customWidth="1"/>
    <col min="167" max="167" width="8.85546875" style="12" bestFit="1" customWidth="1"/>
    <col min="168" max="168" width="11.42578125" style="12" bestFit="1" customWidth="1"/>
    <col min="169" max="169" width="12.28515625" style="12" bestFit="1" customWidth="1"/>
    <col min="170" max="170" width="18.28515625" style="12" bestFit="1" customWidth="1"/>
    <col min="171" max="171" width="10.85546875" style="12" bestFit="1" customWidth="1"/>
    <col min="172" max="172" width="11" style="12" bestFit="1" customWidth="1"/>
    <col min="173" max="173" width="8.28515625" style="12" bestFit="1" customWidth="1"/>
    <col min="174" max="174" width="12.7109375" style="12" bestFit="1" customWidth="1"/>
    <col min="175" max="175" width="24.7109375" style="12" bestFit="1" customWidth="1"/>
    <col min="176" max="176" width="48.5703125" style="12" bestFit="1" customWidth="1"/>
    <col min="177" max="177" width="9.140625" style="12" bestFit="1" customWidth="1"/>
    <col min="178" max="178" width="12.42578125" style="12" bestFit="1" customWidth="1"/>
    <col min="179" max="179" width="15.5703125" style="12" bestFit="1" customWidth="1"/>
    <col min="180" max="180" width="12" style="12" bestFit="1" customWidth="1"/>
    <col min="181" max="181" width="16" style="12" bestFit="1" customWidth="1"/>
    <col min="182" max="182" width="17.42578125" style="12" bestFit="1" customWidth="1"/>
    <col min="183" max="183" width="14.7109375" style="12" bestFit="1" customWidth="1"/>
    <col min="184" max="184" width="12.28515625" style="12" bestFit="1" customWidth="1"/>
    <col min="185" max="185" width="11" style="12" bestFit="1" customWidth="1"/>
    <col min="186" max="186" width="12.42578125" style="12" bestFit="1" customWidth="1"/>
    <col min="187" max="187" width="14.5703125" style="12" bestFit="1" customWidth="1"/>
    <col min="188" max="188" width="10" style="12" bestFit="1" customWidth="1"/>
    <col min="189" max="189" width="11.85546875" style="12" bestFit="1" customWidth="1"/>
    <col min="190" max="190" width="15.5703125" style="12" bestFit="1" customWidth="1"/>
    <col min="191" max="191" width="20.7109375" style="12" bestFit="1" customWidth="1"/>
    <col min="192" max="192" width="13.7109375" style="12" bestFit="1" customWidth="1"/>
    <col min="193" max="193" width="17.42578125" style="12" bestFit="1" customWidth="1"/>
    <col min="194" max="16384" width="9.140625" style="12"/>
  </cols>
  <sheetData>
    <row r="1" spans="1:193" x14ac:dyDescent="0.2">
      <c r="A1" s="11" t="s">
        <v>89</v>
      </c>
      <c r="B1" s="12" t="s">
        <v>90</v>
      </c>
      <c r="C1" s="12" t="s">
        <v>91</v>
      </c>
      <c r="D1" s="12" t="s">
        <v>92</v>
      </c>
      <c r="E1" s="12" t="s">
        <v>93</v>
      </c>
      <c r="F1" s="12" t="s">
        <v>94</v>
      </c>
      <c r="G1" s="12" t="s">
        <v>95</v>
      </c>
      <c r="H1" s="12" t="s">
        <v>96</v>
      </c>
      <c r="I1" s="12" t="s">
        <v>97</v>
      </c>
      <c r="J1" s="12" t="s">
        <v>98</v>
      </c>
      <c r="K1" s="12" t="s">
        <v>99</v>
      </c>
      <c r="L1" s="12" t="s">
        <v>100</v>
      </c>
      <c r="M1" s="12" t="s">
        <v>101</v>
      </c>
      <c r="N1" s="12" t="s">
        <v>102</v>
      </c>
      <c r="O1" s="11" t="s">
        <v>103</v>
      </c>
      <c r="P1" s="12" t="s">
        <v>104</v>
      </c>
      <c r="Q1" s="12" t="s">
        <v>105</v>
      </c>
      <c r="R1" s="12" t="s">
        <v>106</v>
      </c>
      <c r="S1" s="12" t="s">
        <v>107</v>
      </c>
      <c r="T1" s="12" t="s">
        <v>108</v>
      </c>
      <c r="U1" s="11" t="s">
        <v>109</v>
      </c>
      <c r="V1" s="11" t="s">
        <v>110</v>
      </c>
      <c r="W1" s="12" t="s">
        <v>111</v>
      </c>
      <c r="X1" s="12" t="s">
        <v>112</v>
      </c>
      <c r="Y1" s="11" t="s">
        <v>113</v>
      </c>
      <c r="Z1" s="11" t="s">
        <v>114</v>
      </c>
      <c r="AA1" s="11" t="s">
        <v>115</v>
      </c>
      <c r="AB1" s="12" t="s">
        <v>116</v>
      </c>
      <c r="AC1" s="11" t="s">
        <v>117</v>
      </c>
      <c r="AD1" s="12" t="s">
        <v>118</v>
      </c>
      <c r="AE1" s="12" t="s">
        <v>119</v>
      </c>
      <c r="AF1" s="12" t="s">
        <v>120</v>
      </c>
      <c r="AG1" s="12" t="s">
        <v>121</v>
      </c>
      <c r="AH1" s="12" t="s">
        <v>122</v>
      </c>
      <c r="AI1" s="12" t="s">
        <v>123</v>
      </c>
      <c r="AJ1" s="12" t="s">
        <v>124</v>
      </c>
      <c r="AK1" s="12" t="s">
        <v>125</v>
      </c>
      <c r="AL1" s="12" t="s">
        <v>126</v>
      </c>
      <c r="AM1" s="12" t="s">
        <v>127</v>
      </c>
      <c r="AN1" s="11" t="s">
        <v>128</v>
      </c>
      <c r="AO1" s="12" t="s">
        <v>129</v>
      </c>
      <c r="AP1" s="11" t="s">
        <v>130</v>
      </c>
      <c r="AQ1" s="11" t="s">
        <v>131</v>
      </c>
      <c r="AR1" s="11" t="s">
        <v>132</v>
      </c>
      <c r="AS1" s="11" t="s">
        <v>133</v>
      </c>
      <c r="AT1" s="12" t="s">
        <v>134</v>
      </c>
      <c r="AU1" s="11" t="s">
        <v>135</v>
      </c>
      <c r="AV1" s="11" t="s">
        <v>136</v>
      </c>
      <c r="AW1" s="12" t="s">
        <v>137</v>
      </c>
      <c r="AX1" s="12" t="s">
        <v>138</v>
      </c>
      <c r="AY1" s="12" t="s">
        <v>139</v>
      </c>
      <c r="AZ1" s="11" t="s">
        <v>140</v>
      </c>
      <c r="BA1" s="12" t="s">
        <v>141</v>
      </c>
      <c r="BB1" s="12" t="s">
        <v>142</v>
      </c>
      <c r="BC1" s="12" t="s">
        <v>143</v>
      </c>
      <c r="BD1" s="12" t="s">
        <v>144</v>
      </c>
      <c r="BE1" s="12" t="s">
        <v>145</v>
      </c>
      <c r="BF1" s="12" t="s">
        <v>146</v>
      </c>
      <c r="BG1" s="12" t="s">
        <v>147</v>
      </c>
      <c r="BH1" s="12" t="s">
        <v>148</v>
      </c>
      <c r="BI1" s="12" t="s">
        <v>149</v>
      </c>
      <c r="BJ1" s="12" t="s">
        <v>150</v>
      </c>
      <c r="BK1" s="12" t="s">
        <v>151</v>
      </c>
      <c r="BL1" s="11" t="s">
        <v>152</v>
      </c>
      <c r="BM1" s="12" t="s">
        <v>153</v>
      </c>
      <c r="BN1" s="12" t="s">
        <v>154</v>
      </c>
      <c r="BO1" s="12" t="s">
        <v>155</v>
      </c>
      <c r="BP1" s="12" t="s">
        <v>156</v>
      </c>
      <c r="BQ1" s="12" t="s">
        <v>157</v>
      </c>
      <c r="BR1" s="12" t="s">
        <v>158</v>
      </c>
      <c r="BS1" s="12" t="s">
        <v>159</v>
      </c>
      <c r="BT1" s="12" t="s">
        <v>160</v>
      </c>
      <c r="BU1" s="12" t="s">
        <v>161</v>
      </c>
      <c r="BV1" s="12" t="s">
        <v>162</v>
      </c>
      <c r="BW1" s="12" t="s">
        <v>163</v>
      </c>
      <c r="BX1" s="12" t="s">
        <v>164</v>
      </c>
      <c r="BY1" s="12" t="s">
        <v>165</v>
      </c>
      <c r="BZ1" s="12" t="s">
        <v>166</v>
      </c>
      <c r="CA1" s="12" t="s">
        <v>167</v>
      </c>
      <c r="CB1" s="12" t="s">
        <v>168</v>
      </c>
      <c r="CC1" s="12" t="s">
        <v>169</v>
      </c>
      <c r="CD1" s="12" t="s">
        <v>170</v>
      </c>
      <c r="CE1" s="12" t="s">
        <v>171</v>
      </c>
      <c r="CF1" s="12" t="s">
        <v>172</v>
      </c>
      <c r="CG1" s="12" t="s">
        <v>173</v>
      </c>
      <c r="CH1" s="12" t="s">
        <v>174</v>
      </c>
      <c r="CI1" s="12" t="s">
        <v>175</v>
      </c>
      <c r="CJ1" s="12" t="s">
        <v>176</v>
      </c>
      <c r="CK1" s="12" t="s">
        <v>177</v>
      </c>
      <c r="CL1" s="12" t="s">
        <v>178</v>
      </c>
      <c r="CM1" s="12" t="s">
        <v>179</v>
      </c>
      <c r="CN1" s="12" t="s">
        <v>180</v>
      </c>
      <c r="CO1" s="12" t="s">
        <v>181</v>
      </c>
      <c r="CP1" s="12" t="s">
        <v>182</v>
      </c>
      <c r="CQ1" s="12" t="s">
        <v>183</v>
      </c>
      <c r="CR1" s="12" t="s">
        <v>184</v>
      </c>
      <c r="CS1" s="12" t="s">
        <v>185</v>
      </c>
      <c r="CT1" s="12" t="s">
        <v>186</v>
      </c>
      <c r="CU1" s="12" t="s">
        <v>187</v>
      </c>
      <c r="CV1" s="12" t="s">
        <v>188</v>
      </c>
      <c r="CW1" s="12" t="s">
        <v>189</v>
      </c>
      <c r="CX1" s="12" t="s">
        <v>190</v>
      </c>
      <c r="CY1" s="12" t="s">
        <v>191</v>
      </c>
      <c r="CZ1" s="12" t="s">
        <v>192</v>
      </c>
      <c r="DA1" s="12" t="s">
        <v>193</v>
      </c>
      <c r="DB1" s="12" t="s">
        <v>194</v>
      </c>
      <c r="DC1" s="12" t="s">
        <v>195</v>
      </c>
      <c r="DD1" s="12" t="s">
        <v>196</v>
      </c>
      <c r="DE1" s="12" t="s">
        <v>197</v>
      </c>
      <c r="DF1" s="12" t="s">
        <v>198</v>
      </c>
      <c r="DG1" s="12" t="s">
        <v>199</v>
      </c>
      <c r="DH1" s="12" t="s">
        <v>200</v>
      </c>
      <c r="DI1" s="12" t="s">
        <v>201</v>
      </c>
      <c r="DJ1" s="12" t="s">
        <v>202</v>
      </c>
      <c r="DK1" s="12" t="s">
        <v>203</v>
      </c>
      <c r="DL1" s="12" t="s">
        <v>204</v>
      </c>
      <c r="DM1" s="12" t="s">
        <v>205</v>
      </c>
      <c r="DN1" s="12" t="s">
        <v>206</v>
      </c>
      <c r="DO1" s="12" t="s">
        <v>207</v>
      </c>
      <c r="DP1" s="12" t="s">
        <v>208</v>
      </c>
      <c r="DQ1" s="12" t="s">
        <v>209</v>
      </c>
      <c r="DR1" s="12" t="s">
        <v>210</v>
      </c>
      <c r="DS1" s="12" t="s">
        <v>211</v>
      </c>
      <c r="DT1" s="12" t="s">
        <v>212</v>
      </c>
      <c r="DU1" s="12" t="s">
        <v>213</v>
      </c>
      <c r="DV1" s="12" t="s">
        <v>214</v>
      </c>
      <c r="DW1" s="12" t="s">
        <v>215</v>
      </c>
      <c r="DX1" s="12" t="s">
        <v>216</v>
      </c>
      <c r="DY1" s="12" t="s">
        <v>217</v>
      </c>
      <c r="DZ1" s="12" t="s">
        <v>218</v>
      </c>
      <c r="EA1" s="12" t="s">
        <v>219</v>
      </c>
      <c r="EB1" s="12" t="s">
        <v>220</v>
      </c>
      <c r="EC1" s="12" t="s">
        <v>221</v>
      </c>
      <c r="ED1" s="12" t="s">
        <v>222</v>
      </c>
      <c r="EE1" s="12" t="s">
        <v>223</v>
      </c>
      <c r="EF1" s="12" t="s">
        <v>90</v>
      </c>
      <c r="EG1" s="12" t="s">
        <v>93</v>
      </c>
      <c r="EH1" s="12" t="s">
        <v>224</v>
      </c>
      <c r="EI1" s="12" t="s">
        <v>94</v>
      </c>
      <c r="EJ1" s="12" t="s">
        <v>96</v>
      </c>
      <c r="EK1" s="12" t="s">
        <v>97</v>
      </c>
      <c r="EL1" s="12" t="s">
        <v>98</v>
      </c>
      <c r="EM1" s="12" t="s">
        <v>225</v>
      </c>
      <c r="EN1" s="12" t="s">
        <v>226</v>
      </c>
      <c r="EO1" s="12" t="s">
        <v>102</v>
      </c>
      <c r="EP1" s="12" t="s">
        <v>227</v>
      </c>
      <c r="EQ1" s="11" t="s">
        <v>228</v>
      </c>
      <c r="ER1" s="11" t="s">
        <v>115</v>
      </c>
      <c r="ES1" s="11" t="s">
        <v>126</v>
      </c>
      <c r="ET1" s="11" t="s">
        <v>229</v>
      </c>
      <c r="EU1" s="11" t="s">
        <v>128</v>
      </c>
      <c r="EV1" s="11" t="s">
        <v>131</v>
      </c>
      <c r="EW1" s="12" t="s">
        <v>230</v>
      </c>
      <c r="EX1" s="12" t="s">
        <v>120</v>
      </c>
      <c r="EY1" s="12" t="s">
        <v>121</v>
      </c>
      <c r="EZ1" s="12" t="s">
        <v>123</v>
      </c>
      <c r="FA1" s="11" t="s">
        <v>133</v>
      </c>
      <c r="FB1" s="11" t="s">
        <v>135</v>
      </c>
      <c r="FC1" s="11" t="s">
        <v>154</v>
      </c>
      <c r="FD1" s="12" t="s">
        <v>231</v>
      </c>
      <c r="FE1" s="12" t="s">
        <v>156</v>
      </c>
      <c r="FF1" s="11" t="s">
        <v>158</v>
      </c>
      <c r="FG1" s="12" t="s">
        <v>157</v>
      </c>
      <c r="FH1" s="12" t="s">
        <v>142</v>
      </c>
      <c r="FI1" s="12" t="s">
        <v>95</v>
      </c>
      <c r="FJ1" s="12" t="s">
        <v>232</v>
      </c>
      <c r="FK1" s="12" t="s">
        <v>233</v>
      </c>
      <c r="FL1" s="12" t="s">
        <v>148</v>
      </c>
      <c r="FM1" s="12" t="s">
        <v>141</v>
      </c>
      <c r="FN1" s="12" t="s">
        <v>234</v>
      </c>
      <c r="FO1" s="12" t="s">
        <v>235</v>
      </c>
      <c r="FP1" s="12" t="s">
        <v>236</v>
      </c>
      <c r="FQ1" s="12" t="s">
        <v>168</v>
      </c>
      <c r="FR1" s="12" t="s">
        <v>237</v>
      </c>
      <c r="FS1" s="11" t="s">
        <v>238</v>
      </c>
      <c r="FT1" s="11" t="s">
        <v>239</v>
      </c>
      <c r="FU1" s="12" t="s">
        <v>167</v>
      </c>
      <c r="FV1" s="12" t="s">
        <v>240</v>
      </c>
      <c r="FW1" s="12" t="s">
        <v>193</v>
      </c>
      <c r="FX1" s="12" t="s">
        <v>194</v>
      </c>
      <c r="FY1" s="12" t="s">
        <v>201</v>
      </c>
      <c r="FZ1" s="12" t="s">
        <v>202</v>
      </c>
      <c r="GA1" s="12" t="s">
        <v>200</v>
      </c>
      <c r="GB1" s="12" t="s">
        <v>196</v>
      </c>
      <c r="GC1" s="12" t="s">
        <v>198</v>
      </c>
      <c r="GD1" s="12" t="s">
        <v>197</v>
      </c>
      <c r="GE1" s="12" t="s">
        <v>199</v>
      </c>
      <c r="GF1" s="12" t="s">
        <v>241</v>
      </c>
      <c r="GG1" s="12" t="s">
        <v>207</v>
      </c>
      <c r="GH1" s="12" t="s">
        <v>208</v>
      </c>
      <c r="GI1" s="12" t="s">
        <v>214</v>
      </c>
      <c r="GJ1" s="12" t="s">
        <v>216</v>
      </c>
      <c r="GK1" s="12" t="s">
        <v>217</v>
      </c>
    </row>
    <row r="2" spans="1:193" x14ac:dyDescent="0.2">
      <c r="A2" s="13" t="s">
        <v>242</v>
      </c>
      <c r="F2" s="14">
        <v>42704.345833333333</v>
      </c>
      <c r="O2" s="13" t="s">
        <v>243</v>
      </c>
      <c r="U2" s="13" t="s">
        <v>244</v>
      </c>
      <c r="V2" s="13" t="s">
        <v>245</v>
      </c>
      <c r="Y2" s="13" t="s">
        <v>246</v>
      </c>
      <c r="Z2" s="13"/>
      <c r="AA2" s="13" t="s">
        <v>247</v>
      </c>
      <c r="AC2" s="13" t="s">
        <v>248</v>
      </c>
      <c r="AN2" s="13" t="s">
        <v>249</v>
      </c>
      <c r="AP2" s="13" t="s">
        <v>250</v>
      </c>
      <c r="AQ2" s="13"/>
      <c r="AR2" s="13">
        <v>1986</v>
      </c>
      <c r="AS2" s="13"/>
      <c r="AU2" s="13" t="s">
        <v>251</v>
      </c>
      <c r="AV2" s="13" t="s">
        <v>252</v>
      </c>
      <c r="AZ2" s="13">
        <v>1987</v>
      </c>
      <c r="BB2" s="12" t="s">
        <v>253</v>
      </c>
      <c r="BF2" s="12" t="s">
        <v>254</v>
      </c>
      <c r="BH2" s="14">
        <v>42632.12777777778</v>
      </c>
      <c r="BL2" s="13" t="s">
        <v>245</v>
      </c>
      <c r="BM2" s="14">
        <v>42632.12777777778</v>
      </c>
      <c r="BW2" s="12">
        <v>0</v>
      </c>
      <c r="BX2" s="12">
        <v>0</v>
      </c>
      <c r="BY2" s="12">
        <v>0</v>
      </c>
      <c r="BZ2" s="12">
        <v>0</v>
      </c>
      <c r="CC2" s="12">
        <v>0</v>
      </c>
      <c r="CG2" s="12">
        <v>0</v>
      </c>
      <c r="CH2" s="12">
        <v>3</v>
      </c>
      <c r="CM2" s="12" t="b">
        <v>0</v>
      </c>
      <c r="CN2" s="12">
        <v>3</v>
      </c>
      <c r="CR2" s="12" t="s">
        <v>255</v>
      </c>
      <c r="CS2" s="14">
        <v>42704.330555555556</v>
      </c>
      <c r="CT2" s="14">
        <v>42704.34375</v>
      </c>
      <c r="CV2" s="14">
        <v>42654.334027777775</v>
      </c>
      <c r="CW2" s="14">
        <v>42654.345833333333</v>
      </c>
      <c r="DA2" s="12">
        <v>0</v>
      </c>
      <c r="DB2" s="12">
        <v>0</v>
      </c>
      <c r="DC2" s="12">
        <v>0</v>
      </c>
      <c r="DD2" s="14">
        <v>42632.12777777778</v>
      </c>
      <c r="DH2" s="12" t="s">
        <v>256</v>
      </c>
      <c r="DI2" s="12" t="s">
        <v>257</v>
      </c>
      <c r="DJ2" s="12" t="s">
        <v>258</v>
      </c>
      <c r="DM2" s="12">
        <v>0</v>
      </c>
      <c r="DN2" s="12">
        <v>0</v>
      </c>
      <c r="DR2" s="12" t="s">
        <v>259</v>
      </c>
      <c r="DS2" s="12" t="s">
        <v>260</v>
      </c>
      <c r="DV2" s="12">
        <v>0</v>
      </c>
      <c r="DW2" s="12">
        <v>0</v>
      </c>
      <c r="EC2" s="14">
        <v>42632.12777777778</v>
      </c>
      <c r="EE2" s="12">
        <v>11</v>
      </c>
      <c r="EI2" s="14">
        <v>42661.213888888888</v>
      </c>
      <c r="EJ2" s="14">
        <v>42632.125694444447</v>
      </c>
      <c r="EQ2" s="13" t="s">
        <v>245</v>
      </c>
      <c r="ER2" s="13" t="s">
        <v>247</v>
      </c>
      <c r="ES2" s="13"/>
      <c r="ET2" s="13"/>
      <c r="EU2" s="13" t="s">
        <v>249</v>
      </c>
      <c r="EV2" s="13" t="s">
        <v>261</v>
      </c>
      <c r="EW2" s="12" t="s">
        <v>262</v>
      </c>
      <c r="FA2" s="13">
        <v>70112</v>
      </c>
      <c r="FB2" s="13"/>
      <c r="FC2" s="13" t="s">
        <v>263</v>
      </c>
      <c r="FD2" s="12" t="s">
        <v>263</v>
      </c>
      <c r="FF2" s="13" t="s">
        <v>264</v>
      </c>
      <c r="FL2" s="14">
        <v>42632.117361111108</v>
      </c>
      <c r="FM2" s="14">
        <v>42423.824999999997</v>
      </c>
      <c r="FN2" s="14">
        <v>42423.824999999997</v>
      </c>
      <c r="FO2" s="12">
        <v>9</v>
      </c>
      <c r="FS2" s="13"/>
      <c r="FT2" s="13" t="s">
        <v>265</v>
      </c>
      <c r="FW2" s="12">
        <v>2</v>
      </c>
      <c r="FX2" s="12">
        <v>2</v>
      </c>
      <c r="FY2" s="12" t="s">
        <v>257</v>
      </c>
      <c r="FZ2" s="12" t="s">
        <v>266</v>
      </c>
      <c r="GA2" s="12" t="s">
        <v>256</v>
      </c>
      <c r="GB2" s="14">
        <v>42423.824999999997</v>
      </c>
      <c r="GC2" s="14">
        <v>42495.30972222222</v>
      </c>
      <c r="GD2" s="14">
        <v>42467.34652777778</v>
      </c>
      <c r="GE2" s="14">
        <v>42495.30972222222</v>
      </c>
      <c r="GF2" s="12">
        <v>0</v>
      </c>
    </row>
    <row r="3" spans="1:193" x14ac:dyDescent="0.2">
      <c r="A3" s="13" t="s">
        <v>267</v>
      </c>
      <c r="F3" s="14">
        <v>42704.332638888889</v>
      </c>
      <c r="O3" s="13" t="s">
        <v>268</v>
      </c>
      <c r="U3" s="13" t="s">
        <v>269</v>
      </c>
      <c r="V3" s="13" t="s">
        <v>270</v>
      </c>
      <c r="Y3" s="13" t="s">
        <v>246</v>
      </c>
      <c r="Z3" s="13"/>
      <c r="AA3" s="13" t="s">
        <v>247</v>
      </c>
      <c r="AC3" s="13" t="s">
        <v>248</v>
      </c>
      <c r="AN3" s="13" t="s">
        <v>249</v>
      </c>
      <c r="AP3" s="13" t="s">
        <v>250</v>
      </c>
      <c r="AQ3" s="13"/>
      <c r="AR3" s="13">
        <v>1985</v>
      </c>
      <c r="AS3" s="13"/>
      <c r="AU3" s="13" t="s">
        <v>251</v>
      </c>
      <c r="AV3" s="13" t="s">
        <v>252</v>
      </c>
      <c r="AZ3" s="13">
        <v>1985</v>
      </c>
      <c r="BB3" s="12" t="s">
        <v>253</v>
      </c>
      <c r="BF3" s="12" t="s">
        <v>271</v>
      </c>
      <c r="BH3" s="14">
        <v>42632.13958333333</v>
      </c>
      <c r="BL3" s="13" t="s">
        <v>245</v>
      </c>
      <c r="BM3" s="14">
        <v>42632.13958333333</v>
      </c>
      <c r="BW3" s="12">
        <v>0</v>
      </c>
      <c r="BX3" s="12">
        <v>0</v>
      </c>
      <c r="BY3" s="12">
        <v>0</v>
      </c>
      <c r="BZ3" s="12">
        <v>0</v>
      </c>
      <c r="CC3" s="12">
        <v>0</v>
      </c>
      <c r="CG3" s="12">
        <v>0</v>
      </c>
      <c r="CH3" s="12">
        <v>3</v>
      </c>
      <c r="CM3" s="12" t="b">
        <v>0</v>
      </c>
      <c r="CN3" s="12">
        <v>1</v>
      </c>
      <c r="CR3" s="12" t="s">
        <v>255</v>
      </c>
      <c r="CS3" s="14">
        <v>42704.330555555556</v>
      </c>
      <c r="CT3" s="14">
        <v>42704.331250000003</v>
      </c>
      <c r="CV3" s="14">
        <v>42654.334027777775</v>
      </c>
      <c r="CW3" s="14">
        <v>42704.331250000003</v>
      </c>
      <c r="DA3" s="12">
        <v>0</v>
      </c>
      <c r="DB3" s="12">
        <v>0</v>
      </c>
      <c r="DC3" s="12">
        <v>0</v>
      </c>
      <c r="DD3" s="14">
        <v>42632.13958333333</v>
      </c>
      <c r="DH3" s="12" t="s">
        <v>256</v>
      </c>
      <c r="DI3" s="12" t="s">
        <v>257</v>
      </c>
      <c r="DJ3" s="12" t="s">
        <v>258</v>
      </c>
      <c r="DM3" s="12">
        <v>0</v>
      </c>
      <c r="DN3" s="12">
        <v>0</v>
      </c>
      <c r="DR3" s="12" t="s">
        <v>259</v>
      </c>
      <c r="DS3" s="12" t="s">
        <v>260</v>
      </c>
      <c r="DV3" s="12">
        <v>0</v>
      </c>
      <c r="DW3" s="12">
        <v>0</v>
      </c>
      <c r="EC3" s="14">
        <v>42632.13958333333</v>
      </c>
      <c r="EE3" s="12">
        <v>11</v>
      </c>
      <c r="EI3" s="14">
        <v>42661.213888888888</v>
      </c>
      <c r="EJ3" s="14">
        <v>42632.125694444447</v>
      </c>
      <c r="EQ3" s="13" t="s">
        <v>245</v>
      </c>
      <c r="ER3" s="13" t="s">
        <v>247</v>
      </c>
      <c r="ES3" s="13"/>
      <c r="ET3" s="13"/>
      <c r="EU3" s="13" t="s">
        <v>249</v>
      </c>
      <c r="EV3" s="13" t="s">
        <v>261</v>
      </c>
      <c r="EW3" s="12" t="s">
        <v>262</v>
      </c>
      <c r="FA3" s="13">
        <v>70112</v>
      </c>
      <c r="FB3" s="13"/>
      <c r="FC3" s="13" t="s">
        <v>263</v>
      </c>
      <c r="FD3" s="12" t="s">
        <v>263</v>
      </c>
      <c r="FF3" s="13" t="s">
        <v>264</v>
      </c>
      <c r="FL3" s="14">
        <v>42632.117361111108</v>
      </c>
      <c r="FM3" s="14">
        <v>42423.824999999997</v>
      </c>
      <c r="FN3" s="14">
        <v>42423.824999999997</v>
      </c>
      <c r="FO3" s="12">
        <v>9</v>
      </c>
      <c r="FS3" s="13"/>
      <c r="FT3" s="13" t="s">
        <v>265</v>
      </c>
      <c r="FW3" s="12">
        <v>2</v>
      </c>
      <c r="FX3" s="12">
        <v>2</v>
      </c>
      <c r="FY3" s="12" t="s">
        <v>257</v>
      </c>
      <c r="FZ3" s="12" t="s">
        <v>266</v>
      </c>
      <c r="GA3" s="12" t="s">
        <v>256</v>
      </c>
      <c r="GB3" s="14">
        <v>42423.824999999997</v>
      </c>
      <c r="GC3" s="14">
        <v>42495.30972222222</v>
      </c>
      <c r="GD3" s="14">
        <v>42467.34652777778</v>
      </c>
      <c r="GE3" s="14">
        <v>42495.30972222222</v>
      </c>
      <c r="GF3" s="12">
        <v>0</v>
      </c>
    </row>
    <row r="4" spans="1:193" x14ac:dyDescent="0.2">
      <c r="A4" s="13" t="s">
        <v>272</v>
      </c>
      <c r="F4" s="14">
        <v>42705.44027777778</v>
      </c>
      <c r="O4" s="13" t="s">
        <v>273</v>
      </c>
      <c r="U4" s="13" t="s">
        <v>274</v>
      </c>
      <c r="V4" s="13" t="s">
        <v>245</v>
      </c>
      <c r="Y4" s="13" t="s">
        <v>275</v>
      </c>
      <c r="Z4" s="13"/>
      <c r="AA4" s="13" t="s">
        <v>247</v>
      </c>
      <c r="AC4" s="13" t="s">
        <v>248</v>
      </c>
      <c r="AN4" s="13" t="s">
        <v>249</v>
      </c>
      <c r="AP4" s="13" t="s">
        <v>276</v>
      </c>
      <c r="AQ4" s="13"/>
      <c r="AR4" s="13">
        <v>2015</v>
      </c>
      <c r="AS4" s="13"/>
      <c r="AU4" s="13" t="s">
        <v>251</v>
      </c>
      <c r="AV4" s="13" t="s">
        <v>252</v>
      </c>
      <c r="AZ4" s="13">
        <v>2015</v>
      </c>
      <c r="BB4" s="12" t="s">
        <v>253</v>
      </c>
      <c r="BF4" s="12" t="s">
        <v>277</v>
      </c>
      <c r="BH4" s="14">
        <v>42632.136805555558</v>
      </c>
      <c r="BL4" s="13" t="s">
        <v>245</v>
      </c>
      <c r="BM4" s="14">
        <v>42632.136805555558</v>
      </c>
      <c r="BW4" s="12">
        <v>0</v>
      </c>
      <c r="BX4" s="12">
        <v>0</v>
      </c>
      <c r="BY4" s="12">
        <v>0</v>
      </c>
      <c r="BZ4" s="12">
        <v>0</v>
      </c>
      <c r="CC4" s="12">
        <v>0</v>
      </c>
      <c r="CG4" s="12">
        <v>0</v>
      </c>
      <c r="CH4" s="12">
        <v>3</v>
      </c>
      <c r="CM4" s="12" t="b">
        <v>0</v>
      </c>
      <c r="CN4" s="12">
        <v>3</v>
      </c>
      <c r="CR4" s="12" t="s">
        <v>255</v>
      </c>
      <c r="CS4" s="14">
        <v>42704.329861111109</v>
      </c>
      <c r="CT4" s="14">
        <v>42705.438194444447</v>
      </c>
      <c r="CV4" s="14">
        <v>42654.334027777775</v>
      </c>
      <c r="CW4" s="14">
        <v>42654.452777777777</v>
      </c>
      <c r="DA4" s="12">
        <v>0</v>
      </c>
      <c r="DB4" s="12">
        <v>0</v>
      </c>
      <c r="DC4" s="12">
        <v>0</v>
      </c>
      <c r="DD4" s="14">
        <v>42632.136805555558</v>
      </c>
      <c r="DH4" s="12" t="s">
        <v>256</v>
      </c>
      <c r="DI4" s="12" t="s">
        <v>257</v>
      </c>
      <c r="DJ4" s="12" t="s">
        <v>258</v>
      </c>
      <c r="DM4" s="12">
        <v>0</v>
      </c>
      <c r="DN4" s="12">
        <v>0</v>
      </c>
      <c r="DR4" s="12" t="s">
        <v>259</v>
      </c>
      <c r="DS4" s="12" t="s">
        <v>260</v>
      </c>
      <c r="DT4" s="12" t="s">
        <v>278</v>
      </c>
      <c r="DU4" s="12" t="s">
        <v>279</v>
      </c>
      <c r="DV4" s="12">
        <v>0</v>
      </c>
      <c r="DW4" s="12">
        <v>0</v>
      </c>
      <c r="EC4" s="14">
        <v>42632.136805555558</v>
      </c>
      <c r="EE4" s="12">
        <v>11</v>
      </c>
      <c r="EI4" s="14">
        <v>42661.213888888888</v>
      </c>
      <c r="EJ4" s="14">
        <v>42632.125694444447</v>
      </c>
      <c r="EQ4" s="13" t="s">
        <v>245</v>
      </c>
      <c r="ER4" s="13" t="s">
        <v>247</v>
      </c>
      <c r="ES4" s="13"/>
      <c r="ET4" s="13"/>
      <c r="EU4" s="13" t="s">
        <v>249</v>
      </c>
      <c r="EV4" s="13" t="s">
        <v>261</v>
      </c>
      <c r="EW4" s="12" t="s">
        <v>262</v>
      </c>
      <c r="FA4" s="13">
        <v>70112</v>
      </c>
      <c r="FB4" s="13"/>
      <c r="FC4" s="13" t="s">
        <v>263</v>
      </c>
      <c r="FD4" s="12" t="s">
        <v>263</v>
      </c>
      <c r="FF4" s="13" t="s">
        <v>264</v>
      </c>
      <c r="FL4" s="14">
        <v>42632.117361111108</v>
      </c>
      <c r="FM4" s="14">
        <v>42423.824999999997</v>
      </c>
      <c r="FN4" s="14">
        <v>42423.824999999997</v>
      </c>
      <c r="FO4" s="12">
        <v>9</v>
      </c>
      <c r="FS4" s="13"/>
      <c r="FT4" s="13" t="s">
        <v>265</v>
      </c>
      <c r="FW4" s="12">
        <v>2</v>
      </c>
      <c r="FX4" s="12">
        <v>2</v>
      </c>
      <c r="FY4" s="12" t="s">
        <v>257</v>
      </c>
      <c r="FZ4" s="12" t="s">
        <v>266</v>
      </c>
      <c r="GA4" s="12" t="s">
        <v>256</v>
      </c>
      <c r="GB4" s="14">
        <v>42423.824999999997</v>
      </c>
      <c r="GC4" s="14">
        <v>42495.30972222222</v>
      </c>
      <c r="GD4" s="14">
        <v>42467.34652777778</v>
      </c>
      <c r="GE4" s="14">
        <v>42495.30972222222</v>
      </c>
      <c r="GF4" s="12">
        <v>0</v>
      </c>
    </row>
    <row r="5" spans="1:193" x14ac:dyDescent="0.2">
      <c r="A5" s="13" t="s">
        <v>280</v>
      </c>
      <c r="D5" s="12">
        <v>1</v>
      </c>
      <c r="F5" s="14">
        <v>42704.330555555556</v>
      </c>
      <c r="O5" s="13" t="s">
        <v>281</v>
      </c>
      <c r="U5" s="13" t="s">
        <v>282</v>
      </c>
      <c r="V5" s="13" t="s">
        <v>245</v>
      </c>
      <c r="Y5" s="13" t="s">
        <v>283</v>
      </c>
      <c r="Z5" s="13"/>
      <c r="AA5" s="13" t="s">
        <v>284</v>
      </c>
      <c r="AC5" s="13" t="s">
        <v>285</v>
      </c>
      <c r="AN5" s="13" t="s">
        <v>286</v>
      </c>
      <c r="AP5" s="13" t="s">
        <v>250</v>
      </c>
      <c r="AQ5" s="13"/>
      <c r="AR5" s="13">
        <v>1978</v>
      </c>
      <c r="AS5" s="13"/>
      <c r="AU5" s="13" t="s">
        <v>251</v>
      </c>
      <c r="AV5" s="13" t="s">
        <v>287</v>
      </c>
      <c r="AZ5" s="13">
        <v>1978</v>
      </c>
      <c r="BA5" s="14">
        <v>42632.154166666667</v>
      </c>
      <c r="BB5" s="12" t="s">
        <v>288</v>
      </c>
      <c r="BF5" s="12" t="s">
        <v>289</v>
      </c>
      <c r="BH5" s="14">
        <v>42632.154166666667</v>
      </c>
      <c r="BK5" s="14">
        <v>42632.154166666667</v>
      </c>
      <c r="BL5" s="13" t="s">
        <v>245</v>
      </c>
      <c r="BM5" s="14">
        <v>42632.154166666667</v>
      </c>
      <c r="BW5" s="12">
        <v>0</v>
      </c>
      <c r="BX5" s="12">
        <v>0</v>
      </c>
      <c r="BY5" s="12">
        <v>0</v>
      </c>
      <c r="BZ5" s="12">
        <v>0</v>
      </c>
      <c r="CC5" s="12">
        <v>0</v>
      </c>
      <c r="CG5" s="12">
        <v>1</v>
      </c>
      <c r="CH5" s="12">
        <v>5</v>
      </c>
      <c r="CM5" s="12" t="b">
        <v>0</v>
      </c>
      <c r="CN5" s="12">
        <v>1</v>
      </c>
      <c r="CR5" s="12" t="s">
        <v>255</v>
      </c>
      <c r="CS5" s="14">
        <v>42704.329861111109</v>
      </c>
      <c r="CT5" s="14">
        <v>42676.335416666669</v>
      </c>
      <c r="CW5" s="14">
        <v>42676.335416666669</v>
      </c>
      <c r="DA5" s="12">
        <v>0</v>
      </c>
      <c r="DB5" s="12">
        <v>0</v>
      </c>
      <c r="DC5" s="12">
        <v>0</v>
      </c>
      <c r="DD5" s="14">
        <v>42632.154166666667</v>
      </c>
      <c r="DH5" s="12" t="s">
        <v>256</v>
      </c>
      <c r="DI5" s="12" t="s">
        <v>257</v>
      </c>
      <c r="DJ5" s="12" t="s">
        <v>258</v>
      </c>
      <c r="DM5" s="12">
        <v>0</v>
      </c>
      <c r="DN5" s="12">
        <v>0</v>
      </c>
      <c r="DQ5" s="12" t="s">
        <v>290</v>
      </c>
      <c r="DR5" s="12" t="s">
        <v>259</v>
      </c>
      <c r="DS5" s="12" t="s">
        <v>260</v>
      </c>
      <c r="DT5" s="12" t="s">
        <v>278</v>
      </c>
      <c r="DU5" s="12" t="s">
        <v>279</v>
      </c>
      <c r="DV5" s="12">
        <v>0</v>
      </c>
      <c r="DW5" s="12">
        <v>0</v>
      </c>
      <c r="EC5" s="14">
        <v>42658.45</v>
      </c>
      <c r="EE5" s="12">
        <v>11</v>
      </c>
      <c r="EI5" s="14">
        <v>42661.213888888888</v>
      </c>
      <c r="EJ5" s="14">
        <v>42632.125694444447</v>
      </c>
      <c r="EQ5" s="13" t="s">
        <v>245</v>
      </c>
      <c r="ER5" s="13" t="s">
        <v>247</v>
      </c>
      <c r="ES5" s="13"/>
      <c r="ET5" s="13"/>
      <c r="EU5" s="13" t="s">
        <v>249</v>
      </c>
      <c r="EV5" s="13" t="s">
        <v>261</v>
      </c>
      <c r="EW5" s="12" t="s">
        <v>262</v>
      </c>
      <c r="FA5" s="13">
        <v>70112</v>
      </c>
      <c r="FB5" s="13"/>
      <c r="FC5" s="13" t="s">
        <v>263</v>
      </c>
      <c r="FD5" s="12" t="s">
        <v>263</v>
      </c>
      <c r="FF5" s="13" t="s">
        <v>264</v>
      </c>
      <c r="FL5" s="14">
        <v>42632.117361111108</v>
      </c>
      <c r="FM5" s="14">
        <v>42423.824999999997</v>
      </c>
      <c r="FN5" s="14">
        <v>42423.824999999997</v>
      </c>
      <c r="FO5" s="12">
        <v>9</v>
      </c>
      <c r="FS5" s="13"/>
      <c r="FT5" s="13" t="s">
        <v>265</v>
      </c>
      <c r="FW5" s="12">
        <v>2</v>
      </c>
      <c r="FX5" s="12">
        <v>2</v>
      </c>
      <c r="FY5" s="12" t="s">
        <v>257</v>
      </c>
      <c r="FZ5" s="12" t="s">
        <v>266</v>
      </c>
      <c r="GA5" s="12" t="s">
        <v>256</v>
      </c>
      <c r="GB5" s="14">
        <v>42423.824999999997</v>
      </c>
      <c r="GC5" s="14">
        <v>42495.30972222222</v>
      </c>
      <c r="GD5" s="14">
        <v>42467.34652777778</v>
      </c>
      <c r="GE5" s="14">
        <v>42495.30972222222</v>
      </c>
      <c r="GF5" s="12">
        <v>0</v>
      </c>
    </row>
    <row r="6" spans="1:193" x14ac:dyDescent="0.2">
      <c r="A6" s="13" t="s">
        <v>291</v>
      </c>
      <c r="F6" s="14">
        <v>42704.345833333333</v>
      </c>
      <c r="O6" s="13" t="s">
        <v>268</v>
      </c>
      <c r="U6" s="13" t="s">
        <v>292</v>
      </c>
      <c r="V6" s="13" t="s">
        <v>245</v>
      </c>
      <c r="Y6" s="13" t="s">
        <v>293</v>
      </c>
      <c r="Z6" s="13"/>
      <c r="AA6" s="13" t="s">
        <v>284</v>
      </c>
      <c r="AC6" s="13" t="s">
        <v>285</v>
      </c>
      <c r="AN6" s="13" t="s">
        <v>286</v>
      </c>
      <c r="AP6" s="13" t="s">
        <v>250</v>
      </c>
      <c r="AQ6" s="13"/>
      <c r="AR6" s="13">
        <v>1998</v>
      </c>
      <c r="AS6" s="13"/>
      <c r="AU6" s="13" t="s">
        <v>251</v>
      </c>
      <c r="AV6" s="13" t="s">
        <v>252</v>
      </c>
      <c r="AZ6" s="13">
        <v>1999</v>
      </c>
      <c r="BB6" s="12" t="s">
        <v>253</v>
      </c>
      <c r="BF6" s="12" t="s">
        <v>294</v>
      </c>
      <c r="BH6" s="14">
        <v>42632.14166666667</v>
      </c>
      <c r="BL6" s="13" t="s">
        <v>245</v>
      </c>
      <c r="BM6" s="14">
        <v>42632.14166666667</v>
      </c>
      <c r="BW6" s="12">
        <v>0</v>
      </c>
      <c r="BX6" s="12">
        <v>0</v>
      </c>
      <c r="BY6" s="12">
        <v>0</v>
      </c>
      <c r="BZ6" s="12">
        <v>0</v>
      </c>
      <c r="CC6" s="12">
        <v>0</v>
      </c>
      <c r="CG6" s="12">
        <v>0</v>
      </c>
      <c r="CH6" s="12">
        <v>6</v>
      </c>
      <c r="CM6" s="12" t="b">
        <v>0</v>
      </c>
      <c r="CN6" s="12">
        <v>2</v>
      </c>
      <c r="CR6" s="12" t="s">
        <v>255</v>
      </c>
      <c r="CS6" s="14">
        <v>42704.329861111109</v>
      </c>
      <c r="CT6" s="14">
        <v>42704.34375</v>
      </c>
      <c r="CW6" s="14">
        <v>42654.336111111108</v>
      </c>
      <c r="DA6" s="12">
        <v>0</v>
      </c>
      <c r="DB6" s="12">
        <v>0</v>
      </c>
      <c r="DC6" s="12">
        <v>0</v>
      </c>
      <c r="DD6" s="14">
        <v>42632.14166666667</v>
      </c>
      <c r="DH6" s="12" t="s">
        <v>256</v>
      </c>
      <c r="DI6" s="12" t="s">
        <v>257</v>
      </c>
      <c r="DJ6" s="12" t="s">
        <v>258</v>
      </c>
      <c r="DM6" s="12">
        <v>0</v>
      </c>
      <c r="DN6" s="12">
        <v>0</v>
      </c>
      <c r="DQ6" s="12" t="s">
        <v>295</v>
      </c>
      <c r="DR6" s="12" t="s">
        <v>259</v>
      </c>
      <c r="DS6" s="12" t="s">
        <v>260</v>
      </c>
      <c r="DT6" s="12" t="s">
        <v>296</v>
      </c>
      <c r="DU6" s="12" t="s">
        <v>297</v>
      </c>
      <c r="DV6" s="12">
        <v>0</v>
      </c>
      <c r="DW6" s="12">
        <v>0</v>
      </c>
      <c r="EC6" s="14">
        <v>42632.14166666667</v>
      </c>
      <c r="EE6" s="12">
        <v>11</v>
      </c>
      <c r="EI6" s="14">
        <v>42661.213888888888</v>
      </c>
      <c r="EJ6" s="14">
        <v>42632.125694444447</v>
      </c>
      <c r="EQ6" s="13" t="s">
        <v>245</v>
      </c>
      <c r="ER6" s="13" t="s">
        <v>247</v>
      </c>
      <c r="ES6" s="13"/>
      <c r="ET6" s="13"/>
      <c r="EU6" s="13" t="s">
        <v>249</v>
      </c>
      <c r="EV6" s="13" t="s">
        <v>261</v>
      </c>
      <c r="EW6" s="12" t="s">
        <v>262</v>
      </c>
      <c r="FA6" s="13">
        <v>70112</v>
      </c>
      <c r="FB6" s="13"/>
      <c r="FC6" s="13" t="s">
        <v>263</v>
      </c>
      <c r="FD6" s="12" t="s">
        <v>263</v>
      </c>
      <c r="FF6" s="13" t="s">
        <v>264</v>
      </c>
      <c r="FL6" s="14">
        <v>42632.117361111108</v>
      </c>
      <c r="FM6" s="14">
        <v>42423.824999999997</v>
      </c>
      <c r="FN6" s="14">
        <v>42423.824999999997</v>
      </c>
      <c r="FO6" s="12">
        <v>9</v>
      </c>
      <c r="FS6" s="13"/>
      <c r="FT6" s="13" t="s">
        <v>265</v>
      </c>
      <c r="FW6" s="12">
        <v>2</v>
      </c>
      <c r="FX6" s="12">
        <v>2</v>
      </c>
      <c r="FY6" s="12" t="s">
        <v>257</v>
      </c>
      <c r="FZ6" s="12" t="s">
        <v>266</v>
      </c>
      <c r="GA6" s="12" t="s">
        <v>256</v>
      </c>
      <c r="GB6" s="14">
        <v>42423.824999999997</v>
      </c>
      <c r="GC6" s="14">
        <v>42495.30972222222</v>
      </c>
      <c r="GD6" s="14">
        <v>42467.34652777778</v>
      </c>
      <c r="GE6" s="14">
        <v>42495.30972222222</v>
      </c>
      <c r="GF6" s="12">
        <v>0</v>
      </c>
    </row>
    <row r="7" spans="1:193" x14ac:dyDescent="0.2">
      <c r="A7" s="13" t="s">
        <v>298</v>
      </c>
      <c r="F7" s="14">
        <v>42704.330555555556</v>
      </c>
      <c r="O7" s="13" t="s">
        <v>299</v>
      </c>
      <c r="U7" s="13" t="s">
        <v>300</v>
      </c>
      <c r="V7" s="13" t="s">
        <v>245</v>
      </c>
      <c r="Y7" s="13" t="s">
        <v>301</v>
      </c>
      <c r="Z7" s="13"/>
      <c r="AA7" s="13" t="s">
        <v>284</v>
      </c>
      <c r="AC7" s="13" t="s">
        <v>285</v>
      </c>
      <c r="AN7" s="13" t="s">
        <v>286</v>
      </c>
      <c r="AP7" s="13" t="s">
        <v>276</v>
      </c>
      <c r="AQ7" s="13"/>
      <c r="AR7" s="13">
        <v>2010</v>
      </c>
      <c r="AS7" s="13"/>
      <c r="AU7" s="13" t="s">
        <v>251</v>
      </c>
      <c r="AV7" s="13" t="s">
        <v>252</v>
      </c>
      <c r="AZ7" s="13">
        <v>2010</v>
      </c>
      <c r="BB7" s="12" t="s">
        <v>253</v>
      </c>
      <c r="BF7" s="12" t="s">
        <v>294</v>
      </c>
      <c r="BH7" s="14">
        <v>42632.117361111108</v>
      </c>
      <c r="BL7" s="13" t="s">
        <v>245</v>
      </c>
      <c r="BM7" s="14">
        <v>42632.117361111108</v>
      </c>
      <c r="BW7" s="12">
        <v>0</v>
      </c>
      <c r="BX7" s="12">
        <v>0</v>
      </c>
      <c r="BY7" s="12">
        <v>0</v>
      </c>
      <c r="BZ7" s="12">
        <v>0</v>
      </c>
      <c r="CC7" s="12">
        <v>0</v>
      </c>
      <c r="CG7" s="12">
        <v>2</v>
      </c>
      <c r="CH7" s="12">
        <v>3</v>
      </c>
      <c r="CM7" s="12" t="b">
        <v>0</v>
      </c>
      <c r="CN7" s="12">
        <v>1</v>
      </c>
      <c r="CR7" s="12" t="s">
        <v>255</v>
      </c>
      <c r="CS7" s="14">
        <v>42704.330555555556</v>
      </c>
      <c r="CT7" s="14">
        <v>42654.338194444441</v>
      </c>
      <c r="CV7" s="14">
        <v>42654.334027777775</v>
      </c>
      <c r="CW7" s="14">
        <v>42654.338194444441</v>
      </c>
      <c r="DA7" s="12">
        <v>0</v>
      </c>
      <c r="DB7" s="12">
        <v>0</v>
      </c>
      <c r="DC7" s="12">
        <v>0</v>
      </c>
      <c r="DD7" s="14">
        <v>42632.117361111108</v>
      </c>
      <c r="DH7" s="12" t="s">
        <v>256</v>
      </c>
      <c r="DI7" s="12" t="s">
        <v>257</v>
      </c>
      <c r="DJ7" s="12" t="s">
        <v>258</v>
      </c>
      <c r="DM7" s="12">
        <v>0</v>
      </c>
      <c r="DN7" s="12">
        <v>0</v>
      </c>
      <c r="DQ7" s="12" t="s">
        <v>295</v>
      </c>
      <c r="DR7" s="12" t="s">
        <v>259</v>
      </c>
      <c r="DS7" s="12" t="s">
        <v>260</v>
      </c>
      <c r="DT7" s="12" t="s">
        <v>296</v>
      </c>
      <c r="DU7" s="12" t="s">
        <v>297</v>
      </c>
      <c r="DV7" s="12">
        <v>0</v>
      </c>
      <c r="DW7" s="12">
        <v>0</v>
      </c>
      <c r="EC7" s="14">
        <v>42632.117361111108</v>
      </c>
      <c r="EE7" s="12">
        <v>11</v>
      </c>
      <c r="EI7" s="14">
        <v>42661.213888888888</v>
      </c>
      <c r="EJ7" s="14">
        <v>42632.125694444447</v>
      </c>
      <c r="EQ7" s="13" t="s">
        <v>245</v>
      </c>
      <c r="ER7" s="13" t="s">
        <v>247</v>
      </c>
      <c r="ES7" s="13"/>
      <c r="ET7" s="13"/>
      <c r="EU7" s="13" t="s">
        <v>249</v>
      </c>
      <c r="EV7" s="13" t="s">
        <v>261</v>
      </c>
      <c r="EW7" s="12" t="s">
        <v>262</v>
      </c>
      <c r="FA7" s="13">
        <v>70112</v>
      </c>
      <c r="FB7" s="13"/>
      <c r="FC7" s="13" t="s">
        <v>263</v>
      </c>
      <c r="FD7" s="12" t="s">
        <v>263</v>
      </c>
      <c r="FF7" s="13" t="s">
        <v>264</v>
      </c>
      <c r="FL7" s="14">
        <v>42632.117361111108</v>
      </c>
      <c r="FM7" s="14">
        <v>42423.824999999997</v>
      </c>
      <c r="FN7" s="14">
        <v>42423.824999999997</v>
      </c>
      <c r="FO7" s="12">
        <v>9</v>
      </c>
      <c r="FS7" s="13"/>
      <c r="FT7" s="13" t="s">
        <v>265</v>
      </c>
      <c r="FW7" s="12">
        <v>2</v>
      </c>
      <c r="FX7" s="12">
        <v>2</v>
      </c>
      <c r="FY7" s="12" t="s">
        <v>257</v>
      </c>
      <c r="FZ7" s="12" t="s">
        <v>266</v>
      </c>
      <c r="GA7" s="12" t="s">
        <v>256</v>
      </c>
      <c r="GB7" s="14">
        <v>42423.824999999997</v>
      </c>
      <c r="GC7" s="14">
        <v>42495.30972222222</v>
      </c>
      <c r="GD7" s="14">
        <v>42467.34652777778</v>
      </c>
      <c r="GE7" s="14">
        <v>42495.30972222222</v>
      </c>
      <c r="GF7" s="12">
        <v>0</v>
      </c>
    </row>
    <row r="8" spans="1:193" x14ac:dyDescent="0.2">
      <c r="A8" s="13" t="s">
        <v>302</v>
      </c>
      <c r="F8" s="14">
        <v>42704.586805555555</v>
      </c>
      <c r="O8" s="13" t="s">
        <v>303</v>
      </c>
      <c r="U8" s="13" t="s">
        <v>304</v>
      </c>
      <c r="V8" s="13" t="s">
        <v>245</v>
      </c>
      <c r="Y8" s="13" t="s">
        <v>293</v>
      </c>
      <c r="Z8" s="13"/>
      <c r="AA8" s="13" t="s">
        <v>284</v>
      </c>
      <c r="AC8" s="13" t="s">
        <v>285</v>
      </c>
      <c r="AN8" s="13" t="s">
        <v>286</v>
      </c>
      <c r="AP8" s="13" t="s">
        <v>276</v>
      </c>
      <c r="AQ8" s="13"/>
      <c r="AR8" s="13">
        <v>1991</v>
      </c>
      <c r="AS8" s="13"/>
      <c r="AU8" s="13" t="s">
        <v>251</v>
      </c>
      <c r="AV8" s="13" t="s">
        <v>252</v>
      </c>
      <c r="AZ8" s="13">
        <v>1992</v>
      </c>
      <c r="BB8" s="12" t="s">
        <v>253</v>
      </c>
      <c r="BF8" s="12" t="s">
        <v>294</v>
      </c>
      <c r="BH8" s="14">
        <v>42632.132638888892</v>
      </c>
      <c r="BL8" s="13" t="s">
        <v>245</v>
      </c>
      <c r="BM8" s="14">
        <v>42632.132638888892</v>
      </c>
      <c r="BW8" s="12">
        <v>0</v>
      </c>
      <c r="BX8" s="12">
        <v>0</v>
      </c>
      <c r="BY8" s="12">
        <v>0</v>
      </c>
      <c r="BZ8" s="12">
        <v>0</v>
      </c>
      <c r="CC8" s="12">
        <v>0</v>
      </c>
      <c r="CG8" s="12">
        <v>0</v>
      </c>
      <c r="CH8" s="12">
        <v>3</v>
      </c>
      <c r="CM8" s="12" t="b">
        <v>0</v>
      </c>
      <c r="CN8" s="12">
        <v>1</v>
      </c>
      <c r="CR8" s="12" t="s">
        <v>255</v>
      </c>
      <c r="CS8" s="14">
        <v>42704.329861111109</v>
      </c>
      <c r="CT8" s="14">
        <v>42704.584722222222</v>
      </c>
      <c r="CV8" s="14">
        <v>42654.334027777775</v>
      </c>
      <c r="CW8" s="14">
        <v>42704.584722222222</v>
      </c>
      <c r="DA8" s="12">
        <v>0</v>
      </c>
      <c r="DB8" s="12">
        <v>0</v>
      </c>
      <c r="DC8" s="12">
        <v>0</v>
      </c>
      <c r="DD8" s="14">
        <v>42632.132638888892</v>
      </c>
      <c r="DH8" s="12" t="s">
        <v>256</v>
      </c>
      <c r="DI8" s="12" t="s">
        <v>257</v>
      </c>
      <c r="DJ8" s="12" t="s">
        <v>258</v>
      </c>
      <c r="DM8" s="12">
        <v>0</v>
      </c>
      <c r="DN8" s="12">
        <v>0</v>
      </c>
      <c r="DQ8" s="12" t="s">
        <v>295</v>
      </c>
      <c r="DR8" s="12" t="s">
        <v>259</v>
      </c>
      <c r="DS8" s="12" t="s">
        <v>260</v>
      </c>
      <c r="DT8" s="12" t="s">
        <v>296</v>
      </c>
      <c r="DU8" s="12" t="s">
        <v>297</v>
      </c>
      <c r="DV8" s="12">
        <v>0</v>
      </c>
      <c r="DW8" s="12">
        <v>0</v>
      </c>
      <c r="EC8" s="14">
        <v>42632.132638888892</v>
      </c>
      <c r="EE8" s="12">
        <v>11</v>
      </c>
      <c r="EI8" s="14">
        <v>42661.213888888888</v>
      </c>
      <c r="EJ8" s="14">
        <v>42632.125694444447</v>
      </c>
      <c r="EQ8" s="13" t="s">
        <v>245</v>
      </c>
      <c r="ER8" s="13" t="s">
        <v>247</v>
      </c>
      <c r="ES8" s="13"/>
      <c r="ET8" s="13"/>
      <c r="EU8" s="13" t="s">
        <v>249</v>
      </c>
      <c r="EV8" s="13" t="s">
        <v>261</v>
      </c>
      <c r="EW8" s="12" t="s">
        <v>262</v>
      </c>
      <c r="FA8" s="13">
        <v>70112</v>
      </c>
      <c r="FB8" s="13"/>
      <c r="FC8" s="13" t="s">
        <v>263</v>
      </c>
      <c r="FD8" s="12" t="s">
        <v>263</v>
      </c>
      <c r="FF8" s="13" t="s">
        <v>264</v>
      </c>
      <c r="FL8" s="14">
        <v>42632.117361111108</v>
      </c>
      <c r="FM8" s="14">
        <v>42423.824999999997</v>
      </c>
      <c r="FN8" s="14">
        <v>42423.824999999997</v>
      </c>
      <c r="FO8" s="12">
        <v>9</v>
      </c>
      <c r="FS8" s="13"/>
      <c r="FT8" s="13" t="s">
        <v>265</v>
      </c>
      <c r="FW8" s="12">
        <v>2</v>
      </c>
      <c r="FX8" s="12">
        <v>2</v>
      </c>
      <c r="FY8" s="12" t="s">
        <v>257</v>
      </c>
      <c r="FZ8" s="12" t="s">
        <v>266</v>
      </c>
      <c r="GA8" s="12" t="s">
        <v>256</v>
      </c>
      <c r="GB8" s="14">
        <v>42423.824999999997</v>
      </c>
      <c r="GC8" s="14">
        <v>42495.30972222222</v>
      </c>
      <c r="GD8" s="14">
        <v>42467.34652777778</v>
      </c>
      <c r="GE8" s="14">
        <v>42495.30972222222</v>
      </c>
      <c r="GF8" s="12">
        <v>0</v>
      </c>
    </row>
    <row r="9" spans="1:193" x14ac:dyDescent="0.2">
      <c r="A9" s="13" t="s">
        <v>305</v>
      </c>
      <c r="B9" s="12">
        <v>1</v>
      </c>
      <c r="E9" s="14">
        <v>42489.907638888886</v>
      </c>
      <c r="F9" s="14">
        <v>42709.925000000003</v>
      </c>
      <c r="H9" s="14">
        <v>42423.824999999997</v>
      </c>
      <c r="I9" s="12">
        <v>9000</v>
      </c>
      <c r="J9" s="14">
        <v>42517.892361111109</v>
      </c>
      <c r="L9" s="14">
        <v>42571.359027777777</v>
      </c>
      <c r="N9" s="12">
        <v>9000</v>
      </c>
      <c r="O9" s="13" t="s">
        <v>306</v>
      </c>
      <c r="U9" s="13" t="s">
        <v>307</v>
      </c>
      <c r="V9" s="13" t="s">
        <v>245</v>
      </c>
      <c r="Y9" s="13" t="s">
        <v>308</v>
      </c>
      <c r="Z9" s="13"/>
      <c r="AA9" s="13" t="s">
        <v>247</v>
      </c>
      <c r="AC9" s="13"/>
      <c r="AE9" s="12" t="s">
        <v>262</v>
      </c>
      <c r="AF9" s="14">
        <v>42569.633333333331</v>
      </c>
      <c r="AG9" s="14">
        <v>42569.632638888892</v>
      </c>
      <c r="AJ9" s="12">
        <v>2</v>
      </c>
      <c r="AK9" s="12">
        <v>2</v>
      </c>
      <c r="AN9" s="13" t="s">
        <v>249</v>
      </c>
      <c r="AP9" s="13" t="s">
        <v>250</v>
      </c>
      <c r="AQ9" s="13" t="s">
        <v>309</v>
      </c>
      <c r="AR9" s="13">
        <v>1973</v>
      </c>
      <c r="AS9" s="13"/>
      <c r="AU9" s="13"/>
      <c r="AV9" s="13" t="s">
        <v>310</v>
      </c>
      <c r="AZ9" s="13">
        <v>1973</v>
      </c>
      <c r="BA9" s="14">
        <v>42423.824999999997</v>
      </c>
      <c r="BB9" s="12" t="s">
        <v>288</v>
      </c>
      <c r="BF9" s="12" t="s">
        <v>311</v>
      </c>
      <c r="BH9" s="14">
        <v>42423.824999999997</v>
      </c>
      <c r="BK9" s="14">
        <v>42423.824999999997</v>
      </c>
      <c r="BL9" s="13" t="s">
        <v>245</v>
      </c>
      <c r="BW9" s="12">
        <v>0</v>
      </c>
      <c r="BX9" s="12">
        <v>0</v>
      </c>
      <c r="BY9" s="12">
        <v>0</v>
      </c>
      <c r="BZ9" s="12">
        <v>0</v>
      </c>
      <c r="CC9" s="12">
        <v>0</v>
      </c>
      <c r="CG9" s="12">
        <v>2</v>
      </c>
      <c r="CH9" s="12">
        <v>20</v>
      </c>
      <c r="CM9" s="12" t="b">
        <v>0</v>
      </c>
      <c r="CN9" s="12">
        <v>10</v>
      </c>
      <c r="CO9" s="12">
        <v>2</v>
      </c>
      <c r="CR9" s="12" t="s">
        <v>255</v>
      </c>
      <c r="CS9" s="14">
        <v>42704.330555555556</v>
      </c>
      <c r="CT9" s="14">
        <v>42654.372916666667</v>
      </c>
      <c r="CU9" s="14">
        <v>42495.30972222222</v>
      </c>
      <c r="CV9" s="14">
        <v>42451.250694444447</v>
      </c>
      <c r="CW9" s="14">
        <v>42451.27847222222</v>
      </c>
      <c r="CX9" s="14">
        <v>42467.34375</v>
      </c>
      <c r="CY9" s="12" t="s">
        <v>312</v>
      </c>
      <c r="CZ9" s="12" t="s">
        <v>313</v>
      </c>
      <c r="DA9" s="12">
        <v>2</v>
      </c>
      <c r="DB9" s="12">
        <v>2</v>
      </c>
      <c r="DC9" s="12">
        <v>0</v>
      </c>
      <c r="DD9" s="14">
        <v>42423.824999999997</v>
      </c>
      <c r="DE9" s="14">
        <v>42467.34652777778</v>
      </c>
      <c r="DF9" s="14">
        <v>42495.30972222222</v>
      </c>
      <c r="DG9" s="14">
        <v>42495.30972222222</v>
      </c>
      <c r="DH9" s="12" t="s">
        <v>256</v>
      </c>
      <c r="DI9" s="12" t="s">
        <v>257</v>
      </c>
      <c r="DJ9" s="12" t="s">
        <v>266</v>
      </c>
      <c r="DM9" s="12">
        <v>1</v>
      </c>
      <c r="DN9" s="12">
        <v>0</v>
      </c>
      <c r="DR9" s="12" t="s">
        <v>259</v>
      </c>
      <c r="DS9" s="12" t="s">
        <v>260</v>
      </c>
      <c r="DT9" s="12" t="s">
        <v>278</v>
      </c>
      <c r="DU9" s="12" t="s">
        <v>279</v>
      </c>
      <c r="DV9" s="12">
        <v>0</v>
      </c>
      <c r="DW9" s="12">
        <v>0</v>
      </c>
      <c r="EC9" s="14">
        <v>42658.457638888889</v>
      </c>
      <c r="EE9" s="12">
        <v>11</v>
      </c>
      <c r="EI9" s="14">
        <v>42661.213888888888</v>
      </c>
      <c r="EJ9" s="14">
        <v>42632.125694444447</v>
      </c>
      <c r="EQ9" s="13" t="s">
        <v>245</v>
      </c>
      <c r="ER9" s="13" t="s">
        <v>247</v>
      </c>
      <c r="ES9" s="13"/>
      <c r="ET9" s="13"/>
      <c r="EU9" s="13" t="s">
        <v>249</v>
      </c>
      <c r="EV9" s="13" t="s">
        <v>261</v>
      </c>
      <c r="EW9" s="12" t="s">
        <v>262</v>
      </c>
      <c r="FA9" s="13">
        <v>70112</v>
      </c>
      <c r="FB9" s="13"/>
      <c r="FC9" s="13" t="s">
        <v>263</v>
      </c>
      <c r="FD9" s="12" t="s">
        <v>263</v>
      </c>
      <c r="FF9" s="13" t="s">
        <v>264</v>
      </c>
      <c r="FL9" s="14">
        <v>42632.117361111108</v>
      </c>
      <c r="FM9" s="14">
        <v>42423.824999999997</v>
      </c>
      <c r="FN9" s="14">
        <v>42423.824999999997</v>
      </c>
      <c r="FO9" s="12">
        <v>9</v>
      </c>
      <c r="FS9" s="13"/>
      <c r="FT9" s="13" t="s">
        <v>265</v>
      </c>
      <c r="FW9" s="12">
        <v>2</v>
      </c>
      <c r="FX9" s="12">
        <v>2</v>
      </c>
      <c r="FY9" s="12" t="s">
        <v>257</v>
      </c>
      <c r="FZ9" s="12" t="s">
        <v>266</v>
      </c>
      <c r="GA9" s="12" t="s">
        <v>256</v>
      </c>
      <c r="GB9" s="14">
        <v>42423.824999999997</v>
      </c>
      <c r="GC9" s="14">
        <v>42495.30972222222</v>
      </c>
      <c r="GD9" s="14">
        <v>42467.34652777778</v>
      </c>
      <c r="GE9" s="14">
        <v>42495.30972222222</v>
      </c>
      <c r="GF9" s="12">
        <v>0</v>
      </c>
    </row>
    <row r="10" spans="1:193" x14ac:dyDescent="0.2">
      <c r="A10" s="13" t="s">
        <v>314</v>
      </c>
      <c r="F10" s="14">
        <v>42704.330555555556</v>
      </c>
      <c r="O10" s="13" t="s">
        <v>315</v>
      </c>
      <c r="U10" s="13" t="s">
        <v>244</v>
      </c>
      <c r="V10" s="13" t="s">
        <v>245</v>
      </c>
      <c r="Y10" s="13" t="s">
        <v>308</v>
      </c>
      <c r="Z10" s="13"/>
      <c r="AA10" s="13" t="s">
        <v>247</v>
      </c>
      <c r="AC10" s="13" t="s">
        <v>248</v>
      </c>
      <c r="AN10" s="13" t="s">
        <v>249</v>
      </c>
      <c r="AP10" s="13" t="s">
        <v>250</v>
      </c>
      <c r="AQ10" s="13"/>
      <c r="AR10" s="13">
        <v>1968</v>
      </c>
      <c r="AS10" s="13"/>
      <c r="AU10" s="13" t="s">
        <v>251</v>
      </c>
      <c r="AV10" s="13" t="s">
        <v>252</v>
      </c>
      <c r="AZ10" s="13">
        <v>1969</v>
      </c>
      <c r="BB10" s="12" t="s">
        <v>253</v>
      </c>
      <c r="BH10" s="14">
        <v>42632.121527777781</v>
      </c>
      <c r="BL10" s="13" t="s">
        <v>245</v>
      </c>
      <c r="BM10" s="14">
        <v>42632.121527777781</v>
      </c>
      <c r="BW10" s="12">
        <v>0</v>
      </c>
      <c r="BX10" s="12">
        <v>0</v>
      </c>
      <c r="BY10" s="12">
        <v>0</v>
      </c>
      <c r="BZ10" s="12">
        <v>0</v>
      </c>
      <c r="CC10" s="12">
        <v>0</v>
      </c>
      <c r="CG10" s="12">
        <v>3</v>
      </c>
      <c r="CH10" s="12">
        <v>3</v>
      </c>
      <c r="CM10" s="12" t="b">
        <v>0</v>
      </c>
      <c r="CR10" s="12" t="s">
        <v>255</v>
      </c>
      <c r="CS10" s="14">
        <v>42704.329861111109</v>
      </c>
      <c r="CV10" s="14">
        <v>42654.333333333336</v>
      </c>
      <c r="DA10" s="12">
        <v>0</v>
      </c>
      <c r="DB10" s="12">
        <v>0</v>
      </c>
      <c r="DC10" s="12">
        <v>0</v>
      </c>
      <c r="DD10" s="14">
        <v>42632.121527777781</v>
      </c>
      <c r="DH10" s="12" t="s">
        <v>256</v>
      </c>
      <c r="DI10" s="12" t="s">
        <v>257</v>
      </c>
      <c r="DJ10" s="12" t="s">
        <v>258</v>
      </c>
      <c r="DM10" s="12">
        <v>0</v>
      </c>
      <c r="DN10" s="12">
        <v>0</v>
      </c>
      <c r="DV10" s="12">
        <v>0</v>
      </c>
      <c r="DW10" s="12">
        <v>0</v>
      </c>
      <c r="EC10" s="14">
        <v>42632.121527777781</v>
      </c>
      <c r="EE10" s="12">
        <v>11</v>
      </c>
      <c r="EI10" s="14">
        <v>42661.213888888888</v>
      </c>
      <c r="EJ10" s="14">
        <v>42632.125694444447</v>
      </c>
      <c r="EQ10" s="13" t="s">
        <v>245</v>
      </c>
      <c r="ER10" s="13" t="s">
        <v>247</v>
      </c>
      <c r="ES10" s="13"/>
      <c r="ET10" s="13"/>
      <c r="EU10" s="13" t="s">
        <v>249</v>
      </c>
      <c r="EV10" s="13" t="s">
        <v>261</v>
      </c>
      <c r="EW10" s="12" t="s">
        <v>262</v>
      </c>
      <c r="FA10" s="13">
        <v>70112</v>
      </c>
      <c r="FB10" s="13"/>
      <c r="FC10" s="13" t="s">
        <v>263</v>
      </c>
      <c r="FD10" s="12" t="s">
        <v>263</v>
      </c>
      <c r="FF10" s="13" t="s">
        <v>264</v>
      </c>
      <c r="FL10" s="14">
        <v>42632.117361111108</v>
      </c>
      <c r="FM10" s="14">
        <v>42423.824999999997</v>
      </c>
      <c r="FN10" s="14">
        <v>42423.824999999997</v>
      </c>
      <c r="FO10" s="12">
        <v>9</v>
      </c>
      <c r="FS10" s="13"/>
      <c r="FT10" s="13" t="s">
        <v>265</v>
      </c>
      <c r="FW10" s="12">
        <v>2</v>
      </c>
      <c r="FX10" s="12">
        <v>2</v>
      </c>
      <c r="FY10" s="12" t="s">
        <v>257</v>
      </c>
      <c r="FZ10" s="12" t="s">
        <v>266</v>
      </c>
      <c r="GA10" s="12" t="s">
        <v>256</v>
      </c>
      <c r="GB10" s="14">
        <v>42423.824999999997</v>
      </c>
      <c r="GC10" s="14">
        <v>42495.30972222222</v>
      </c>
      <c r="GD10" s="14">
        <v>42467.34652777778</v>
      </c>
      <c r="GE10" s="14">
        <v>42495.30972222222</v>
      </c>
      <c r="GF10" s="12">
        <v>0</v>
      </c>
    </row>
    <row r="11" spans="1:193" x14ac:dyDescent="0.2">
      <c r="A11" s="13" t="s">
        <v>316</v>
      </c>
      <c r="F11" s="14">
        <v>42704.330555555556</v>
      </c>
      <c r="O11" s="13" t="s">
        <v>317</v>
      </c>
      <c r="U11" s="13" t="s">
        <v>318</v>
      </c>
      <c r="V11" s="13" t="s">
        <v>245</v>
      </c>
      <c r="Y11" s="13" t="s">
        <v>293</v>
      </c>
      <c r="Z11" s="13"/>
      <c r="AA11" s="13" t="s">
        <v>247</v>
      </c>
      <c r="AC11" s="13" t="s">
        <v>248</v>
      </c>
      <c r="AN11" s="13" t="s">
        <v>249</v>
      </c>
      <c r="AP11" s="13" t="s">
        <v>250</v>
      </c>
      <c r="AQ11" s="13"/>
      <c r="AR11" s="13">
        <v>1990</v>
      </c>
      <c r="AS11" s="13"/>
      <c r="AU11" s="13" t="s">
        <v>251</v>
      </c>
      <c r="AV11" s="13" t="s">
        <v>252</v>
      </c>
      <c r="AZ11" s="13">
        <v>1991</v>
      </c>
      <c r="BB11" s="12" t="s">
        <v>253</v>
      </c>
      <c r="BH11" s="14">
        <v>42632.134722222225</v>
      </c>
      <c r="BL11" s="13" t="s">
        <v>245</v>
      </c>
      <c r="BM11" s="14">
        <v>42632.134722222225</v>
      </c>
      <c r="BW11" s="12">
        <v>0</v>
      </c>
      <c r="BX11" s="12">
        <v>0</v>
      </c>
      <c r="BY11" s="12">
        <v>0</v>
      </c>
      <c r="BZ11" s="12">
        <v>0</v>
      </c>
      <c r="CC11" s="12">
        <v>0</v>
      </c>
      <c r="CG11" s="12">
        <v>4</v>
      </c>
      <c r="CH11" s="12">
        <v>6</v>
      </c>
      <c r="CM11" s="12" t="b">
        <v>0</v>
      </c>
      <c r="CR11" s="12" t="s">
        <v>255</v>
      </c>
      <c r="CS11" s="14">
        <v>42704.330555555556</v>
      </c>
      <c r="DA11" s="12">
        <v>0</v>
      </c>
      <c r="DB11" s="12">
        <v>0</v>
      </c>
      <c r="DC11" s="12">
        <v>0</v>
      </c>
      <c r="DD11" s="14">
        <v>42632.134722222225</v>
      </c>
      <c r="DH11" s="12" t="s">
        <v>256</v>
      </c>
      <c r="DI11" s="12" t="s">
        <v>257</v>
      </c>
      <c r="DJ11" s="12" t="s">
        <v>258</v>
      </c>
      <c r="DM11" s="12">
        <v>0</v>
      </c>
      <c r="DN11" s="12">
        <v>0</v>
      </c>
      <c r="DV11" s="12">
        <v>0</v>
      </c>
      <c r="DW11" s="12">
        <v>0</v>
      </c>
      <c r="EC11" s="14">
        <v>42632.134722222225</v>
      </c>
      <c r="EE11" s="12">
        <v>11</v>
      </c>
      <c r="EI11" s="14">
        <v>42661.213888888888</v>
      </c>
      <c r="EJ11" s="14">
        <v>42632.125694444447</v>
      </c>
      <c r="EQ11" s="13" t="s">
        <v>245</v>
      </c>
      <c r="ER11" s="13" t="s">
        <v>247</v>
      </c>
      <c r="ES11" s="13"/>
      <c r="ET11" s="13"/>
      <c r="EU11" s="13" t="s">
        <v>249</v>
      </c>
      <c r="EV11" s="13" t="s">
        <v>261</v>
      </c>
      <c r="EW11" s="12" t="s">
        <v>262</v>
      </c>
      <c r="FA11" s="13">
        <v>70112</v>
      </c>
      <c r="FB11" s="13"/>
      <c r="FC11" s="13" t="s">
        <v>263</v>
      </c>
      <c r="FD11" s="12" t="s">
        <v>263</v>
      </c>
      <c r="FF11" s="13" t="s">
        <v>264</v>
      </c>
      <c r="FL11" s="14">
        <v>42632.117361111108</v>
      </c>
      <c r="FM11" s="14">
        <v>42423.824999999997</v>
      </c>
      <c r="FN11" s="14">
        <v>42423.824999999997</v>
      </c>
      <c r="FO11" s="12">
        <v>9</v>
      </c>
      <c r="FS11" s="13"/>
      <c r="FT11" s="13" t="s">
        <v>265</v>
      </c>
      <c r="FW11" s="12">
        <v>2</v>
      </c>
      <c r="FX11" s="12">
        <v>2</v>
      </c>
      <c r="FY11" s="12" t="s">
        <v>257</v>
      </c>
      <c r="FZ11" s="12" t="s">
        <v>266</v>
      </c>
      <c r="GA11" s="12" t="s">
        <v>256</v>
      </c>
      <c r="GB11" s="14">
        <v>42423.824999999997</v>
      </c>
      <c r="GC11" s="14">
        <v>42495.30972222222</v>
      </c>
      <c r="GD11" s="14">
        <v>42467.34652777778</v>
      </c>
      <c r="GE11" s="14">
        <v>42495.30972222222</v>
      </c>
      <c r="GF11" s="12">
        <v>0</v>
      </c>
    </row>
    <row r="12" spans="1:193" x14ac:dyDescent="0.2">
      <c r="A12" s="13" t="s">
        <v>319</v>
      </c>
      <c r="D12" s="12">
        <v>1</v>
      </c>
      <c r="F12" s="14">
        <v>42704.330555555556</v>
      </c>
      <c r="O12" s="13" t="s">
        <v>320</v>
      </c>
      <c r="U12" s="13" t="s">
        <v>321</v>
      </c>
      <c r="V12" s="13" t="s">
        <v>245</v>
      </c>
      <c r="Y12" s="13" t="s">
        <v>275</v>
      </c>
      <c r="Z12" s="13"/>
      <c r="AA12" s="13" t="s">
        <v>247</v>
      </c>
      <c r="AC12" s="13" t="s">
        <v>248</v>
      </c>
      <c r="AN12" s="13" t="s">
        <v>249</v>
      </c>
      <c r="AP12" s="13" t="s">
        <v>250</v>
      </c>
      <c r="AQ12" s="13"/>
      <c r="AR12" s="13">
        <v>2014</v>
      </c>
      <c r="AS12" s="13"/>
      <c r="AU12" s="13" t="s">
        <v>251</v>
      </c>
      <c r="AV12" s="13" t="s">
        <v>322</v>
      </c>
      <c r="AZ12" s="13">
        <v>2014</v>
      </c>
      <c r="BA12" s="14">
        <v>42633.40902777778</v>
      </c>
      <c r="BB12" s="12" t="s">
        <v>288</v>
      </c>
      <c r="BH12" s="14">
        <v>42633.40902777778</v>
      </c>
      <c r="BK12" s="14">
        <v>42633.40902777778</v>
      </c>
      <c r="BL12" s="13" t="s">
        <v>245</v>
      </c>
      <c r="BM12" s="14">
        <v>42633.40902777778</v>
      </c>
      <c r="BW12" s="12">
        <v>0</v>
      </c>
      <c r="BX12" s="12">
        <v>0</v>
      </c>
      <c r="BY12" s="12">
        <v>0</v>
      </c>
      <c r="BZ12" s="12">
        <v>0</v>
      </c>
      <c r="CC12" s="12">
        <v>0</v>
      </c>
      <c r="CG12" s="12">
        <v>2</v>
      </c>
      <c r="CH12" s="12">
        <v>2</v>
      </c>
      <c r="CM12" s="12" t="b">
        <v>0</v>
      </c>
      <c r="CR12" s="12" t="s">
        <v>255</v>
      </c>
      <c r="CS12" s="14">
        <v>42704.329861111109</v>
      </c>
      <c r="CV12" s="14">
        <v>42676.334722222222</v>
      </c>
      <c r="DA12" s="12">
        <v>0</v>
      </c>
      <c r="DB12" s="12">
        <v>0</v>
      </c>
      <c r="DC12" s="12">
        <v>0</v>
      </c>
      <c r="DD12" s="14">
        <v>42633.40902777778</v>
      </c>
      <c r="DH12" s="12" t="s">
        <v>256</v>
      </c>
      <c r="DI12" s="12" t="s">
        <v>257</v>
      </c>
      <c r="DJ12" s="12" t="s">
        <v>258</v>
      </c>
      <c r="DM12" s="12">
        <v>0</v>
      </c>
      <c r="DN12" s="12">
        <v>0</v>
      </c>
      <c r="DV12" s="12">
        <v>0</v>
      </c>
      <c r="DW12" s="12">
        <v>0</v>
      </c>
      <c r="EC12" s="14">
        <v>42658.45416666667</v>
      </c>
      <c r="EE12" s="12">
        <v>11</v>
      </c>
      <c r="EI12" s="14">
        <v>42661.213888888888</v>
      </c>
      <c r="EJ12" s="14">
        <v>42632.125694444447</v>
      </c>
      <c r="EQ12" s="13" t="s">
        <v>245</v>
      </c>
      <c r="ER12" s="13" t="s">
        <v>247</v>
      </c>
      <c r="ES12" s="13"/>
      <c r="ET12" s="13"/>
      <c r="EU12" s="13" t="s">
        <v>249</v>
      </c>
      <c r="EV12" s="13" t="s">
        <v>261</v>
      </c>
      <c r="EW12" s="12" t="s">
        <v>262</v>
      </c>
      <c r="FA12" s="13">
        <v>70112</v>
      </c>
      <c r="FB12" s="13"/>
      <c r="FC12" s="13" t="s">
        <v>263</v>
      </c>
      <c r="FD12" s="12" t="s">
        <v>263</v>
      </c>
      <c r="FF12" s="13" t="s">
        <v>264</v>
      </c>
      <c r="FL12" s="14">
        <v>42632.117361111108</v>
      </c>
      <c r="FM12" s="14">
        <v>42423.824999999997</v>
      </c>
      <c r="FN12" s="14">
        <v>42423.824999999997</v>
      </c>
      <c r="FO12" s="12">
        <v>9</v>
      </c>
      <c r="FS12" s="13"/>
      <c r="FT12" s="13" t="s">
        <v>265</v>
      </c>
      <c r="FW12" s="12">
        <v>2</v>
      </c>
      <c r="FX12" s="12">
        <v>2</v>
      </c>
      <c r="FY12" s="12" t="s">
        <v>257</v>
      </c>
      <c r="FZ12" s="12" t="s">
        <v>266</v>
      </c>
      <c r="GA12" s="12" t="s">
        <v>256</v>
      </c>
      <c r="GB12" s="14">
        <v>42423.824999999997</v>
      </c>
      <c r="GC12" s="14">
        <v>42495.30972222222</v>
      </c>
      <c r="GD12" s="14">
        <v>42467.34652777778</v>
      </c>
      <c r="GE12" s="14">
        <v>42495.30972222222</v>
      </c>
      <c r="GF12" s="12">
        <v>0</v>
      </c>
    </row>
    <row r="17" spans="1:176" s="13" customFormat="1" x14ac:dyDescent="0.2">
      <c r="A17" s="16" t="s">
        <v>324</v>
      </c>
      <c r="O17" s="16" t="s">
        <v>324</v>
      </c>
      <c r="U17" s="16" t="s">
        <v>324</v>
      </c>
      <c r="Y17" s="16" t="s">
        <v>324</v>
      </c>
      <c r="AA17" s="16" t="s">
        <v>324</v>
      </c>
      <c r="AN17" s="16" t="s">
        <v>324</v>
      </c>
      <c r="AR17" s="16" t="s">
        <v>324</v>
      </c>
      <c r="EQ17" s="16" t="s">
        <v>324</v>
      </c>
      <c r="EU17" s="16" t="s">
        <v>324</v>
      </c>
      <c r="FB17" s="16" t="s">
        <v>324</v>
      </c>
      <c r="FS17" s="16" t="s">
        <v>324</v>
      </c>
    </row>
    <row r="19" spans="1:176" x14ac:dyDescent="0.2">
      <c r="A19" s="12" t="s">
        <v>325</v>
      </c>
      <c r="O19" s="12" t="s">
        <v>326</v>
      </c>
      <c r="U19" s="12" t="s">
        <v>327</v>
      </c>
      <c r="V19" s="12" t="s">
        <v>329</v>
      </c>
      <c r="Y19" s="12" t="s">
        <v>328</v>
      </c>
      <c r="Z19" s="12" t="s">
        <v>347</v>
      </c>
      <c r="AA19" s="12" t="s">
        <v>345</v>
      </c>
      <c r="AC19" s="12" t="s">
        <v>346</v>
      </c>
      <c r="AN19" s="12" t="s">
        <v>340</v>
      </c>
      <c r="AP19" s="12" t="s">
        <v>332</v>
      </c>
      <c r="AQ19" s="12" t="s">
        <v>341</v>
      </c>
      <c r="AR19" s="12" t="s">
        <v>333</v>
      </c>
      <c r="AS19" s="12" t="s">
        <v>342</v>
      </c>
      <c r="AU19" s="12" t="s">
        <v>343</v>
      </c>
      <c r="AV19" s="12" t="s">
        <v>353</v>
      </c>
      <c r="AZ19" s="12" t="s">
        <v>334</v>
      </c>
      <c r="ER19" s="12" t="s">
        <v>345</v>
      </c>
      <c r="ES19" s="12" t="s">
        <v>338</v>
      </c>
      <c r="ET19" s="12" t="s">
        <v>339</v>
      </c>
      <c r="EU19" s="12" t="s">
        <v>340</v>
      </c>
      <c r="EV19" s="12" t="s">
        <v>341</v>
      </c>
      <c r="FA19" s="12" t="s">
        <v>352</v>
      </c>
      <c r="FB19" s="12" t="s">
        <v>343</v>
      </c>
      <c r="FC19" s="12" t="s">
        <v>335</v>
      </c>
      <c r="FF19" s="12" t="s">
        <v>336</v>
      </c>
      <c r="FS19" s="12" t="s">
        <v>349</v>
      </c>
      <c r="FT19" s="12" t="s">
        <v>350</v>
      </c>
    </row>
    <row r="20" spans="1:176" x14ac:dyDescent="0.2">
      <c r="A20" s="12" t="s">
        <v>344</v>
      </c>
      <c r="O20" s="12" t="s">
        <v>330</v>
      </c>
      <c r="U20" s="12" t="s">
        <v>331</v>
      </c>
      <c r="Y20" s="12" t="s">
        <v>337</v>
      </c>
      <c r="AV20" s="12" t="s">
        <v>354</v>
      </c>
      <c r="FC20" s="12" t="s">
        <v>348</v>
      </c>
    </row>
    <row r="21" spans="1:176" x14ac:dyDescent="0.2">
      <c r="Y21" s="12" t="s">
        <v>350</v>
      </c>
    </row>
    <row r="27" spans="1:176" x14ac:dyDescent="0.2">
      <c r="FS27"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J2"/>
  <sheetViews>
    <sheetView workbookViewId="0">
      <selection activeCell="J2" sqref="J2"/>
    </sheetView>
  </sheetViews>
  <sheetFormatPr defaultRowHeight="15" x14ac:dyDescent="0.25"/>
  <sheetData>
    <row r="2" spans="10:10" x14ac:dyDescent="0.25">
      <c r="J2" t="s">
        <v>27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Test-Results</vt:lpstr>
      <vt:lpstr>data-import</vt:lpstr>
      <vt:lpstr>Screenshots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2016-12-14T10:25:42Z</dcterms:modified>
</cp:coreProperties>
</file>